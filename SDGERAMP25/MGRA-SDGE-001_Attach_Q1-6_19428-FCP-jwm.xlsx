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filterPrivacy="1" defaultThemeVersion="202300"/>
  <xr:revisionPtr revIDLastSave="0" documentId="13_ncr:1_{64A9E2A5-1987-7A46-BC5E-C4B5A6CB4F4F}" xr6:coauthVersionLast="47" xr6:coauthVersionMax="47" xr10:uidLastSave="{00000000-0000-0000-0000-000000000000}"/>
  <bookViews>
    <workbookView xWindow="11980" yWindow="-19480" windowWidth="27000" windowHeight="16420" xr2:uid="{451E3429-1A8E-47C2-A1D8-2E451309B83E}"/>
  </bookViews>
  <sheets>
    <sheet name="Sheet1" sheetId="4" r:id="rId1"/>
    <sheet name="Simpl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5" l="1"/>
  <c r="G30" i="5"/>
  <c r="E30" i="5"/>
  <c r="H29" i="5"/>
  <c r="G29" i="5"/>
  <c r="E29" i="5"/>
  <c r="H28" i="5"/>
  <c r="G28" i="5"/>
  <c r="E28" i="5"/>
  <c r="H27" i="5"/>
  <c r="G27" i="5"/>
  <c r="E27" i="5"/>
  <c r="H26" i="5"/>
  <c r="G26" i="5"/>
  <c r="E26" i="5"/>
  <c r="H25" i="5"/>
  <c r="G25" i="5"/>
  <c r="E25" i="5"/>
  <c r="G24" i="5"/>
  <c r="E24" i="5"/>
  <c r="H24" i="5" s="1"/>
  <c r="H23" i="5"/>
  <c r="G23" i="5"/>
  <c r="E23" i="5"/>
  <c r="H22" i="5"/>
  <c r="G22" i="5"/>
  <c r="E22" i="5"/>
  <c r="H21" i="5"/>
  <c r="G21" i="5"/>
  <c r="E21" i="5"/>
  <c r="G20" i="5"/>
  <c r="E20" i="5"/>
  <c r="H20" i="5" s="1"/>
  <c r="H19" i="5"/>
  <c r="G19" i="5"/>
  <c r="E19" i="5"/>
  <c r="H18" i="5"/>
  <c r="G18" i="5"/>
  <c r="E18" i="5"/>
  <c r="G17" i="5"/>
  <c r="E17" i="5"/>
  <c r="H17" i="5" s="1"/>
  <c r="H16" i="5"/>
  <c r="G16" i="5"/>
  <c r="E16" i="5"/>
  <c r="H15" i="5"/>
  <c r="G15" i="5"/>
  <c r="E15" i="5"/>
  <c r="H14" i="5"/>
  <c r="G14" i="5"/>
  <c r="E14" i="5"/>
  <c r="H13" i="5"/>
  <c r="G13" i="5"/>
  <c r="E13" i="5"/>
  <c r="G12" i="5"/>
  <c r="E12" i="5"/>
  <c r="H12" i="5" s="1"/>
  <c r="G11" i="5"/>
  <c r="E11" i="5"/>
  <c r="H11" i="5" s="1"/>
  <c r="G10" i="5"/>
  <c r="E10" i="5"/>
  <c r="H10" i="5" s="1"/>
  <c r="G9" i="5"/>
  <c r="E9" i="5"/>
  <c r="H9" i="5" s="1"/>
  <c r="G8" i="5"/>
  <c r="E8" i="5"/>
  <c r="H8" i="5" s="1"/>
  <c r="H7" i="5"/>
  <c r="G7" i="5"/>
  <c r="E7" i="5"/>
  <c r="G6" i="5"/>
  <c r="E6" i="5"/>
  <c r="H6" i="5" s="1"/>
  <c r="H5" i="5"/>
  <c r="G5" i="5"/>
  <c r="E5" i="5"/>
  <c r="H4" i="5"/>
  <c r="G4" i="5"/>
  <c r="E4" i="5"/>
  <c r="H34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1" i="4" s="1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4" i="4"/>
  <c r="G32" i="5" l="1"/>
  <c r="E32" i="5"/>
  <c r="E33" i="5" s="1"/>
  <c r="H32" i="5"/>
  <c r="G31" i="4"/>
  <c r="E31" i="4"/>
  <c r="H35" i="5" l="1"/>
  <c r="H33" i="5"/>
</calcChain>
</file>

<file path=xl/sharedStrings.xml><?xml version="1.0" encoding="utf-8"?>
<sst xmlns="http://schemas.openxmlformats.org/spreadsheetml/2006/main" count="76" uniqueCount="46">
  <si>
    <t>Animal contact</t>
  </si>
  <si>
    <t>Balloon contact</t>
  </si>
  <si>
    <t>Vegetation contact</t>
  </si>
  <si>
    <t>Vehicle contact</t>
  </si>
  <si>
    <t>Crossarm damage or failure</t>
  </si>
  <si>
    <t>Conductor damage or failure</t>
  </si>
  <si>
    <t>Insulator and bushing damage or failure</t>
  </si>
  <si>
    <t>Other - contact</t>
  </si>
  <si>
    <t>Other - equipment failure</t>
  </si>
  <si>
    <t>Capacitor bank damage or failure</t>
  </si>
  <si>
    <t>Fuse damage or failure</t>
  </si>
  <si>
    <t>Lightning arrester damage or failure</t>
  </si>
  <si>
    <t>Switch damage or failure</t>
  </si>
  <si>
    <t>Pole damage or failure</t>
  </si>
  <si>
    <t>Voltage regulator damage or failure</t>
  </si>
  <si>
    <t>Recloser damage or failure</t>
  </si>
  <si>
    <t>Anchor/guy damage or failure</t>
  </si>
  <si>
    <t>Sectionalizer damage or failure</t>
  </si>
  <si>
    <t>Connection device damage or failure</t>
  </si>
  <si>
    <t>Transformer damage or failure</t>
  </si>
  <si>
    <t>Wire-to-wire contact</t>
  </si>
  <si>
    <t>Contamination</t>
  </si>
  <si>
    <t>3rd Party Contact</t>
  </si>
  <si>
    <t>Vandalism/Theft</t>
  </si>
  <si>
    <t>Unknown</t>
  </si>
  <si>
    <t>Lightning</t>
  </si>
  <si>
    <t>2024/2025 Subject Matter Expert  Reduction for FCP (%)</t>
  </si>
  <si>
    <t>Total Number of Risk Events [2019 - 2024]</t>
  </si>
  <si>
    <t xml:space="preserve">Estimated Number of Risk Events Reduced </t>
  </si>
  <si>
    <t xml:space="preserve">Other - All </t>
  </si>
  <si>
    <t>Overhead Distribution Risk Event Drivers</t>
  </si>
  <si>
    <t>MGRA-SDGE-001_Attach_Q1-6</t>
  </si>
  <si>
    <t>Wind sensitive</t>
  </si>
  <si>
    <t xml:space="preserve">Note: The 2019-2024 period was characterized by an active PSPS regime that was used infrequently. In a regime where PSPS was not used, wind sensitive events would have increased and thereby the effectiveness of FCP. </t>
  </si>
  <si>
    <t>Wind Driver Totals</t>
  </si>
  <si>
    <t>Wind Risk Totals</t>
  </si>
  <si>
    <t xml:space="preserve">Wind Driver FCP effectiveness: </t>
  </si>
  <si>
    <t>Drivers</t>
  </si>
  <si>
    <t>SME  Reduction FCP (%)</t>
  </si>
  <si>
    <t>Risk Events</t>
  </si>
  <si>
    <t xml:space="preserve">Risk Events Reduced </t>
  </si>
  <si>
    <t>Wind Driver</t>
  </si>
  <si>
    <t>Wind Driver Events</t>
  </si>
  <si>
    <t>Totals</t>
  </si>
  <si>
    <t>Effectiveness</t>
  </si>
  <si>
    <t>Wind Events Reduced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</si>
</sst>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Aptos Narrow"/>
      <family val="2"/>
      <scheme val="minor"/>
    </font>
    <font>
      <b/>
      <sz val="11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9" fontId="0" fillId="0" borderId="0" xfId="1" applyFont="1"/>
    <xf numFmtId="0" fontId="3" fillId="2" borderId="4" xfId="0" applyFont="1" applyFill="1" applyBorder="1" applyAlignment="1">
      <alignment vertical="top" wrapText="1"/>
    </xf>
    <xf numFmtId="0" fontId="2" fillId="3" borderId="1" xfId="0" applyFont="1" applyFill="1" applyBorder="1"/>
    <xf numFmtId="9" fontId="2" fillId="4" borderId="1" xfId="0" applyNumberFormat="1" applyFont="1" applyFill="1" applyBorder="1"/>
    <xf numFmtId="0" fontId="2" fillId="4" borderId="1" xfId="0" applyFont="1" applyFill="1" applyBorder="1"/>
    <xf numFmtId="0" fontId="0" fillId="4" borderId="1" xfId="0" applyFill="1" applyBorder="1"/>
    <xf numFmtId="9" fontId="2" fillId="3" borderId="1" xfId="0" applyNumberFormat="1" applyFont="1" applyFill="1" applyBorder="1"/>
    <xf numFmtId="0" fontId="2" fillId="3" borderId="2" xfId="0" applyFont="1" applyFill="1" applyBorder="1"/>
    <xf numFmtId="0" fontId="0" fillId="4" borderId="2" xfId="0" applyFill="1" applyBorder="1"/>
    <xf numFmtId="0" fontId="2" fillId="4" borderId="3" xfId="0" applyFont="1" applyFill="1" applyBorder="1"/>
    <xf numFmtId="0" fontId="0" fillId="4" borderId="3" xfId="0" applyFill="1" applyBorder="1"/>
    <xf numFmtId="0" fontId="0" fillId="0" borderId="0" xfId="0" applyAlignment="1">
      <alignment horizontal="left"/>
    </xf>
    <xf numFmtId="9" fontId="0" fillId="0" borderId="0" xfId="1" applyFont="1" applyBorder="1"/>
    <xf numFmtId="0" fontId="2" fillId="3" borderId="0" xfId="0" applyFont="1" applyFill="1"/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0" fillId="0" borderId="1" xfId="0" applyBorder="1"/>
    <xf numFmtId="0" fontId="2" fillId="4" borderId="4" xfId="0" applyFont="1" applyFill="1" applyBorder="1"/>
    <xf numFmtId="0" fontId="0" fillId="4" borderId="4" xfId="0" applyFill="1" applyBorder="1"/>
    <xf numFmtId="0" fontId="0" fillId="0" borderId="4" xfId="0" applyBorder="1"/>
    <xf numFmtId="0" fontId="4" fillId="0" borderId="0" xfId="0" applyFont="1" applyAlignment="1">
      <alignment vertical="top" wrapText="1"/>
    </xf>
    <xf numFmtId="0" fontId="2" fillId="3" borderId="0" xfId="0" applyFont="1" applyFill="1" applyBorder="1" applyAlignment="1">
      <alignment vertical="top" wrapText="1"/>
    </xf>
    <xf numFmtId="9" fontId="2" fillId="4" borderId="0" xfId="0" applyNumberFormat="1" applyFont="1" applyFill="1" applyBorder="1"/>
    <xf numFmtId="164" fontId="0" fillId="0" borderId="1" xfId="1" applyNumberFormat="1" applyFont="1" applyBorder="1"/>
    <xf numFmtId="9" fontId="0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DDDE3-B904-4EBD-B38E-88832A343327}">
  <dimension ref="A1:O34"/>
  <sheetViews>
    <sheetView tabSelected="1" workbookViewId="0">
      <selection activeCell="B33" sqref="B33"/>
    </sheetView>
  </sheetViews>
  <sheetFormatPr baseColWidth="10" defaultColWidth="8.83203125" defaultRowHeight="15" x14ac:dyDescent="0.2"/>
  <cols>
    <col min="2" max="2" width="39.1640625" customWidth="1"/>
    <col min="3" max="3" width="30.6640625" customWidth="1"/>
    <col min="4" max="4" width="39.5" customWidth="1"/>
    <col min="5" max="5" width="41.6640625" customWidth="1"/>
    <col min="6" max="6" width="13.6640625" customWidth="1"/>
    <col min="7" max="7" width="24" customWidth="1"/>
    <col min="8" max="8" width="15" customWidth="1"/>
    <col min="14" max="14" width="36.33203125" customWidth="1"/>
  </cols>
  <sheetData>
    <row r="1" spans="1:15" x14ac:dyDescent="0.2">
      <c r="A1" t="s">
        <v>31</v>
      </c>
    </row>
    <row r="3" spans="1:15" ht="44" customHeight="1" x14ac:dyDescent="0.2">
      <c r="B3" s="2" t="s">
        <v>30</v>
      </c>
      <c r="C3" s="2" t="s">
        <v>26</v>
      </c>
      <c r="D3" s="2" t="s">
        <v>27</v>
      </c>
      <c r="E3" s="2" t="s">
        <v>28</v>
      </c>
      <c r="F3" s="2" t="s">
        <v>32</v>
      </c>
      <c r="G3" s="2" t="s">
        <v>34</v>
      </c>
      <c r="H3" s="2" t="s">
        <v>35</v>
      </c>
      <c r="N3" s="12"/>
      <c r="O3" s="13"/>
    </row>
    <row r="4" spans="1:15" x14ac:dyDescent="0.2">
      <c r="B4" s="3" t="s">
        <v>0</v>
      </c>
      <c r="C4" s="4">
        <v>0</v>
      </c>
      <c r="D4" s="5">
        <v>293</v>
      </c>
      <c r="E4" s="6">
        <f t="shared" ref="E4:E30" si="0">D4*C4</f>
        <v>0</v>
      </c>
      <c r="F4">
        <v>0</v>
      </c>
      <c r="G4">
        <f>IF($F4=0,0,D4)</f>
        <v>0</v>
      </c>
      <c r="H4">
        <f>IF($F4=0,0,E4)</f>
        <v>0</v>
      </c>
      <c r="N4" s="12"/>
      <c r="O4" s="13"/>
    </row>
    <row r="5" spans="1:15" x14ac:dyDescent="0.2">
      <c r="B5" s="3" t="s">
        <v>1</v>
      </c>
      <c r="C5" s="4">
        <v>0</v>
      </c>
      <c r="D5" s="5">
        <v>70</v>
      </c>
      <c r="E5" s="6">
        <f t="shared" si="0"/>
        <v>0</v>
      </c>
      <c r="F5">
        <v>0</v>
      </c>
      <c r="G5">
        <f t="shared" ref="G5:H30" si="1">IF($F5=0,0,D5)</f>
        <v>0</v>
      </c>
      <c r="H5">
        <f t="shared" si="1"/>
        <v>0</v>
      </c>
      <c r="N5" s="12"/>
      <c r="O5" s="13"/>
    </row>
    <row r="6" spans="1:15" x14ac:dyDescent="0.2">
      <c r="B6" s="3" t="s">
        <v>2</v>
      </c>
      <c r="C6" s="7">
        <v>0.05</v>
      </c>
      <c r="D6" s="5">
        <v>67</v>
      </c>
      <c r="E6" s="6">
        <f t="shared" si="0"/>
        <v>3.35</v>
      </c>
      <c r="F6">
        <v>1</v>
      </c>
      <c r="G6">
        <f t="shared" si="1"/>
        <v>67</v>
      </c>
      <c r="H6">
        <f t="shared" si="1"/>
        <v>3.35</v>
      </c>
      <c r="N6" s="12"/>
      <c r="O6" s="13"/>
    </row>
    <row r="7" spans="1:15" x14ac:dyDescent="0.2">
      <c r="B7" s="3" t="s">
        <v>3</v>
      </c>
      <c r="C7" s="7">
        <v>0.05</v>
      </c>
      <c r="D7" s="5">
        <v>256</v>
      </c>
      <c r="E7" s="6">
        <f t="shared" si="0"/>
        <v>12.8</v>
      </c>
      <c r="F7">
        <v>0</v>
      </c>
      <c r="G7">
        <f t="shared" si="1"/>
        <v>0</v>
      </c>
      <c r="H7">
        <f t="shared" si="1"/>
        <v>0</v>
      </c>
      <c r="N7" s="12"/>
      <c r="O7" s="13"/>
    </row>
    <row r="8" spans="1:15" x14ac:dyDescent="0.2">
      <c r="B8" s="3" t="s">
        <v>4</v>
      </c>
      <c r="C8" s="7">
        <v>0.1</v>
      </c>
      <c r="D8" s="5">
        <v>89</v>
      </c>
      <c r="E8" s="6">
        <f t="shared" si="0"/>
        <v>8.9</v>
      </c>
      <c r="F8">
        <v>1</v>
      </c>
      <c r="G8">
        <f t="shared" si="1"/>
        <v>89</v>
      </c>
      <c r="H8">
        <f t="shared" si="1"/>
        <v>8.9</v>
      </c>
      <c r="N8" s="12"/>
      <c r="O8" s="13"/>
    </row>
    <row r="9" spans="1:15" x14ac:dyDescent="0.2">
      <c r="B9" s="3" t="s">
        <v>5</v>
      </c>
      <c r="C9" s="7">
        <v>0.9</v>
      </c>
      <c r="D9" s="5">
        <v>131</v>
      </c>
      <c r="E9" s="6">
        <f t="shared" si="0"/>
        <v>117.9</v>
      </c>
      <c r="F9">
        <v>1</v>
      </c>
      <c r="G9">
        <f t="shared" si="1"/>
        <v>131</v>
      </c>
      <c r="H9">
        <f t="shared" si="1"/>
        <v>117.9</v>
      </c>
      <c r="N9" s="12"/>
      <c r="O9" s="13"/>
    </row>
    <row r="10" spans="1:15" x14ac:dyDescent="0.2">
      <c r="B10" s="3" t="s">
        <v>6</v>
      </c>
      <c r="C10" s="4">
        <v>0</v>
      </c>
      <c r="D10" s="5">
        <v>20</v>
      </c>
      <c r="E10" s="6">
        <f t="shared" si="0"/>
        <v>0</v>
      </c>
      <c r="F10">
        <v>1</v>
      </c>
      <c r="G10">
        <f t="shared" si="1"/>
        <v>20</v>
      </c>
      <c r="H10">
        <f t="shared" si="1"/>
        <v>0</v>
      </c>
      <c r="N10" s="12"/>
      <c r="O10" s="13"/>
    </row>
    <row r="11" spans="1:15" x14ac:dyDescent="0.2">
      <c r="B11" s="3" t="s">
        <v>7</v>
      </c>
      <c r="C11" s="4">
        <v>0</v>
      </c>
      <c r="D11" s="5">
        <v>68</v>
      </c>
      <c r="E11" s="6">
        <f t="shared" si="0"/>
        <v>0</v>
      </c>
      <c r="F11">
        <v>1</v>
      </c>
      <c r="G11">
        <f t="shared" si="1"/>
        <v>68</v>
      </c>
      <c r="H11">
        <f t="shared" si="1"/>
        <v>0</v>
      </c>
      <c r="N11" s="12"/>
      <c r="O11" s="13"/>
    </row>
    <row r="12" spans="1:15" x14ac:dyDescent="0.2">
      <c r="B12" s="3" t="s">
        <v>8</v>
      </c>
      <c r="C12" s="7">
        <v>0.1</v>
      </c>
      <c r="D12" s="5">
        <v>7</v>
      </c>
      <c r="E12" s="6">
        <f t="shared" si="0"/>
        <v>0.70000000000000007</v>
      </c>
      <c r="F12">
        <v>1</v>
      </c>
      <c r="G12">
        <f t="shared" si="1"/>
        <v>7</v>
      </c>
      <c r="H12">
        <f t="shared" si="1"/>
        <v>0.70000000000000007</v>
      </c>
      <c r="N12" s="12"/>
      <c r="O12" s="13"/>
    </row>
    <row r="13" spans="1:15" x14ac:dyDescent="0.2">
      <c r="B13" s="3" t="s">
        <v>9</v>
      </c>
      <c r="C13" s="4">
        <v>0</v>
      </c>
      <c r="D13" s="5">
        <v>6</v>
      </c>
      <c r="E13" s="6">
        <f t="shared" si="0"/>
        <v>0</v>
      </c>
      <c r="F13">
        <v>0</v>
      </c>
      <c r="G13">
        <f t="shared" si="1"/>
        <v>0</v>
      </c>
      <c r="H13">
        <f t="shared" si="1"/>
        <v>0</v>
      </c>
      <c r="N13" s="12"/>
      <c r="O13" s="13"/>
    </row>
    <row r="14" spans="1:15" x14ac:dyDescent="0.2">
      <c r="B14" s="3" t="s">
        <v>10</v>
      </c>
      <c r="C14" s="4">
        <v>0</v>
      </c>
      <c r="D14" s="5">
        <v>74</v>
      </c>
      <c r="E14" s="6">
        <f t="shared" si="0"/>
        <v>0</v>
      </c>
      <c r="F14">
        <v>0</v>
      </c>
      <c r="G14">
        <f t="shared" si="1"/>
        <v>0</v>
      </c>
      <c r="H14">
        <f t="shared" si="1"/>
        <v>0</v>
      </c>
      <c r="N14" s="12"/>
      <c r="O14" s="13"/>
    </row>
    <row r="15" spans="1:15" x14ac:dyDescent="0.2">
      <c r="B15" s="3" t="s">
        <v>11</v>
      </c>
      <c r="C15" s="4">
        <v>0</v>
      </c>
      <c r="D15" s="5">
        <v>51</v>
      </c>
      <c r="E15" s="6">
        <f t="shared" si="0"/>
        <v>0</v>
      </c>
      <c r="F15">
        <v>0</v>
      </c>
      <c r="G15">
        <f t="shared" si="1"/>
        <v>0</v>
      </c>
      <c r="H15">
        <f t="shared" si="1"/>
        <v>0</v>
      </c>
      <c r="N15" s="12"/>
      <c r="O15" s="13"/>
    </row>
    <row r="16" spans="1:15" x14ac:dyDescent="0.2">
      <c r="B16" s="3" t="s">
        <v>12</v>
      </c>
      <c r="C16" s="4">
        <v>0</v>
      </c>
      <c r="D16" s="5">
        <v>6</v>
      </c>
      <c r="E16" s="6">
        <f t="shared" si="0"/>
        <v>0</v>
      </c>
      <c r="F16">
        <v>0</v>
      </c>
      <c r="G16">
        <f t="shared" si="1"/>
        <v>0</v>
      </c>
      <c r="H16">
        <f t="shared" si="1"/>
        <v>0</v>
      </c>
      <c r="N16" s="12"/>
      <c r="O16" s="13"/>
    </row>
    <row r="17" spans="2:15" x14ac:dyDescent="0.2">
      <c r="B17" s="3" t="s">
        <v>13</v>
      </c>
      <c r="C17" s="7">
        <v>0.05</v>
      </c>
      <c r="D17" s="5">
        <v>161</v>
      </c>
      <c r="E17" s="6">
        <f t="shared" si="0"/>
        <v>8.0500000000000007</v>
      </c>
      <c r="F17">
        <v>1</v>
      </c>
      <c r="G17">
        <f t="shared" si="1"/>
        <v>161</v>
      </c>
      <c r="H17">
        <f t="shared" si="1"/>
        <v>8.0500000000000007</v>
      </c>
      <c r="N17" s="12"/>
      <c r="O17" s="13"/>
    </row>
    <row r="18" spans="2:15" x14ac:dyDescent="0.2">
      <c r="B18" s="3" t="s">
        <v>14</v>
      </c>
      <c r="C18" s="4">
        <v>0</v>
      </c>
      <c r="D18" s="5">
        <v>5</v>
      </c>
      <c r="E18" s="6">
        <f t="shared" si="0"/>
        <v>0</v>
      </c>
      <c r="F18">
        <v>0</v>
      </c>
      <c r="G18">
        <f t="shared" si="1"/>
        <v>0</v>
      </c>
      <c r="H18">
        <f t="shared" si="1"/>
        <v>0</v>
      </c>
      <c r="N18" s="12"/>
      <c r="O18" s="13"/>
    </row>
    <row r="19" spans="2:15" x14ac:dyDescent="0.2">
      <c r="B19" s="3" t="s">
        <v>15</v>
      </c>
      <c r="C19" s="7">
        <v>0.75</v>
      </c>
      <c r="D19" s="5">
        <v>6</v>
      </c>
      <c r="E19" s="6">
        <f t="shared" si="0"/>
        <v>4.5</v>
      </c>
      <c r="F19">
        <v>0</v>
      </c>
      <c r="G19">
        <f t="shared" si="1"/>
        <v>0</v>
      </c>
      <c r="H19">
        <f t="shared" si="1"/>
        <v>0</v>
      </c>
      <c r="N19" s="12"/>
      <c r="O19" s="13"/>
    </row>
    <row r="20" spans="2:15" x14ac:dyDescent="0.2">
      <c r="B20" s="3" t="s">
        <v>16</v>
      </c>
      <c r="C20" s="4">
        <v>0</v>
      </c>
      <c r="D20" s="5">
        <v>4</v>
      </c>
      <c r="E20" s="6">
        <f t="shared" si="0"/>
        <v>0</v>
      </c>
      <c r="F20">
        <v>1</v>
      </c>
      <c r="G20">
        <f t="shared" si="1"/>
        <v>4</v>
      </c>
      <c r="H20">
        <f t="shared" si="1"/>
        <v>0</v>
      </c>
      <c r="N20" s="12"/>
      <c r="O20" s="13"/>
    </row>
    <row r="21" spans="2:15" x14ac:dyDescent="0.2">
      <c r="B21" s="3" t="s">
        <v>17</v>
      </c>
      <c r="C21" s="4">
        <v>0</v>
      </c>
      <c r="D21" s="5">
        <v>0</v>
      </c>
      <c r="E21" s="6">
        <f t="shared" si="0"/>
        <v>0</v>
      </c>
      <c r="F21">
        <v>0</v>
      </c>
      <c r="G21">
        <f t="shared" si="1"/>
        <v>0</v>
      </c>
      <c r="H21">
        <f t="shared" si="1"/>
        <v>0</v>
      </c>
    </row>
    <row r="22" spans="2:15" x14ac:dyDescent="0.2">
      <c r="B22" s="3" t="s">
        <v>18</v>
      </c>
      <c r="C22" s="7">
        <v>0.2</v>
      </c>
      <c r="D22" s="5">
        <v>133</v>
      </c>
      <c r="E22" s="6">
        <f t="shared" si="0"/>
        <v>26.6</v>
      </c>
      <c r="F22">
        <v>0</v>
      </c>
      <c r="G22">
        <f t="shared" si="1"/>
        <v>0</v>
      </c>
      <c r="H22">
        <f t="shared" si="1"/>
        <v>0</v>
      </c>
    </row>
    <row r="23" spans="2:15" x14ac:dyDescent="0.2">
      <c r="B23" s="3" t="s">
        <v>19</v>
      </c>
      <c r="C23" s="4">
        <v>0</v>
      </c>
      <c r="D23" s="5">
        <v>103</v>
      </c>
      <c r="E23" s="6">
        <f t="shared" si="0"/>
        <v>0</v>
      </c>
      <c r="F23">
        <v>0</v>
      </c>
      <c r="G23">
        <f t="shared" si="1"/>
        <v>0</v>
      </c>
      <c r="H23">
        <f t="shared" si="1"/>
        <v>0</v>
      </c>
    </row>
    <row r="24" spans="2:15" x14ac:dyDescent="0.2">
      <c r="B24" s="3" t="s">
        <v>20</v>
      </c>
      <c r="C24" s="4">
        <v>0</v>
      </c>
      <c r="D24" s="5">
        <v>16</v>
      </c>
      <c r="E24" s="6">
        <f t="shared" si="0"/>
        <v>0</v>
      </c>
      <c r="F24">
        <v>1</v>
      </c>
      <c r="G24">
        <f t="shared" si="1"/>
        <v>16</v>
      </c>
      <c r="H24">
        <f t="shared" si="1"/>
        <v>0</v>
      </c>
    </row>
    <row r="25" spans="2:15" x14ac:dyDescent="0.2">
      <c r="B25" s="3" t="s">
        <v>21</v>
      </c>
      <c r="C25" s="4">
        <v>0</v>
      </c>
      <c r="D25" s="5">
        <v>3</v>
      </c>
      <c r="E25" s="6">
        <f t="shared" si="0"/>
        <v>0</v>
      </c>
      <c r="F25">
        <v>0</v>
      </c>
      <c r="G25">
        <f t="shared" si="1"/>
        <v>0</v>
      </c>
      <c r="H25">
        <f t="shared" si="1"/>
        <v>0</v>
      </c>
    </row>
    <row r="26" spans="2:15" x14ac:dyDescent="0.2">
      <c r="B26" s="3" t="s">
        <v>22</v>
      </c>
      <c r="C26" s="4">
        <v>0</v>
      </c>
      <c r="D26" s="5">
        <v>29</v>
      </c>
      <c r="E26" s="6">
        <f t="shared" si="0"/>
        <v>0</v>
      </c>
      <c r="F26">
        <v>0</v>
      </c>
      <c r="G26">
        <f t="shared" si="1"/>
        <v>0</v>
      </c>
      <c r="H26">
        <f t="shared" si="1"/>
        <v>0</v>
      </c>
    </row>
    <row r="27" spans="2:15" x14ac:dyDescent="0.2">
      <c r="B27" s="3" t="s">
        <v>23</v>
      </c>
      <c r="C27" s="4">
        <v>0</v>
      </c>
      <c r="D27" s="5">
        <v>14</v>
      </c>
      <c r="E27" s="6">
        <f t="shared" si="0"/>
        <v>0</v>
      </c>
      <c r="F27">
        <v>0</v>
      </c>
      <c r="G27">
        <f t="shared" si="1"/>
        <v>0</v>
      </c>
      <c r="H27">
        <f t="shared" si="1"/>
        <v>0</v>
      </c>
    </row>
    <row r="28" spans="2:15" x14ac:dyDescent="0.2">
      <c r="B28" s="3" t="s">
        <v>29</v>
      </c>
      <c r="C28" s="7">
        <v>0</v>
      </c>
      <c r="D28" s="5">
        <v>24</v>
      </c>
      <c r="E28" s="6">
        <f t="shared" si="0"/>
        <v>0</v>
      </c>
      <c r="F28">
        <v>0</v>
      </c>
      <c r="G28">
        <f t="shared" si="1"/>
        <v>0</v>
      </c>
      <c r="H28">
        <f t="shared" si="1"/>
        <v>0</v>
      </c>
    </row>
    <row r="29" spans="2:15" x14ac:dyDescent="0.2">
      <c r="B29" s="3" t="s">
        <v>24</v>
      </c>
      <c r="C29" s="4">
        <v>0</v>
      </c>
      <c r="D29" s="5">
        <v>663</v>
      </c>
      <c r="E29" s="6">
        <f t="shared" si="0"/>
        <v>0</v>
      </c>
      <c r="F29">
        <v>0</v>
      </c>
      <c r="G29">
        <f t="shared" si="1"/>
        <v>0</v>
      </c>
      <c r="H29">
        <f t="shared" si="1"/>
        <v>0</v>
      </c>
    </row>
    <row r="30" spans="2:15" ht="16" thickBot="1" x14ac:dyDescent="0.25">
      <c r="B30" s="3" t="s">
        <v>25</v>
      </c>
      <c r="C30" s="4">
        <v>0</v>
      </c>
      <c r="D30" s="10">
        <v>136</v>
      </c>
      <c r="E30" s="11">
        <f t="shared" si="0"/>
        <v>0</v>
      </c>
      <c r="F30">
        <v>0</v>
      </c>
      <c r="G30">
        <f t="shared" si="1"/>
        <v>0</v>
      </c>
      <c r="H30">
        <f t="shared" si="1"/>
        <v>0</v>
      </c>
    </row>
    <row r="31" spans="2:15" ht="16" thickTop="1" x14ac:dyDescent="0.2">
      <c r="D31" s="8">
        <v>2435</v>
      </c>
      <c r="E31" s="9">
        <f>SUM(E4:E30)</f>
        <v>182.8</v>
      </c>
      <c r="G31">
        <f>SUM(G4:G30)</f>
        <v>563</v>
      </c>
      <c r="H31">
        <f>SUM(H4:H30)</f>
        <v>138.9</v>
      </c>
    </row>
    <row r="33" spans="2:8" x14ac:dyDescent="0.2">
      <c r="B33" s="14" t="s">
        <v>33</v>
      </c>
      <c r="E33" s="1"/>
    </row>
    <row r="34" spans="2:8" x14ac:dyDescent="0.2">
      <c r="G34" t="s">
        <v>36</v>
      </c>
      <c r="H34">
        <f>H31/G31</f>
        <v>0.24671403197158082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FE23-1F77-D04D-BA33-C9D88D069CD8}">
  <dimension ref="A1:O35"/>
  <sheetViews>
    <sheetView topLeftCell="A19" workbookViewId="0">
      <selection activeCell="H33" sqref="B3:H33"/>
    </sheetView>
  </sheetViews>
  <sheetFormatPr baseColWidth="10" defaultColWidth="8.83203125" defaultRowHeight="15" x14ac:dyDescent="0.2"/>
  <cols>
    <col min="2" max="2" width="17.6640625" style="15" customWidth="1"/>
    <col min="3" max="3" width="12.83203125" customWidth="1"/>
    <col min="4" max="4" width="8" customWidth="1"/>
    <col min="5" max="5" width="9.83203125" customWidth="1"/>
    <col min="6" max="6" width="7.1640625" customWidth="1"/>
    <col min="7" max="7" width="10.33203125" customWidth="1"/>
    <col min="8" max="8" width="11.1640625" customWidth="1"/>
    <col min="14" max="14" width="36.33203125" customWidth="1"/>
  </cols>
  <sheetData>
    <row r="1" spans="1:15" x14ac:dyDescent="0.2">
      <c r="A1" t="s">
        <v>31</v>
      </c>
    </row>
    <row r="3" spans="1:15" ht="44" customHeight="1" x14ac:dyDescent="0.2">
      <c r="B3" s="2" t="s">
        <v>37</v>
      </c>
      <c r="C3" s="2" t="s">
        <v>38</v>
      </c>
      <c r="D3" s="2" t="s">
        <v>39</v>
      </c>
      <c r="E3" s="18" t="s">
        <v>40</v>
      </c>
      <c r="F3" s="18" t="s">
        <v>41</v>
      </c>
      <c r="G3" s="18" t="s">
        <v>42</v>
      </c>
      <c r="H3" s="18" t="s">
        <v>45</v>
      </c>
      <c r="N3" s="12"/>
      <c r="O3" s="13"/>
    </row>
    <row r="4" spans="1:15" ht="16" x14ac:dyDescent="0.2">
      <c r="B4" s="16" t="s">
        <v>0</v>
      </c>
      <c r="C4" s="4">
        <v>0</v>
      </c>
      <c r="D4" s="5">
        <v>293</v>
      </c>
      <c r="E4" s="6">
        <f t="shared" ref="E4:E30" si="0">D4*C4</f>
        <v>0</v>
      </c>
      <c r="F4" s="19">
        <v>0</v>
      </c>
      <c r="G4" s="19">
        <f>IF($F4=0,0,D4)</f>
        <v>0</v>
      </c>
      <c r="H4" s="19">
        <f>IF($F4=0,0,E4)</f>
        <v>0</v>
      </c>
      <c r="N4" s="12"/>
      <c r="O4" s="13"/>
    </row>
    <row r="5" spans="1:15" ht="16" x14ac:dyDescent="0.2">
      <c r="B5" s="16" t="s">
        <v>1</v>
      </c>
      <c r="C5" s="4">
        <v>0</v>
      </c>
      <c r="D5" s="5">
        <v>70</v>
      </c>
      <c r="E5" s="6">
        <f t="shared" si="0"/>
        <v>0</v>
      </c>
      <c r="F5" s="19">
        <v>0</v>
      </c>
      <c r="G5" s="19">
        <f t="shared" ref="G5:H30" si="1">IF($F5=0,0,D5)</f>
        <v>0</v>
      </c>
      <c r="H5" s="19">
        <f t="shared" si="1"/>
        <v>0</v>
      </c>
      <c r="N5" s="12"/>
      <c r="O5" s="13"/>
    </row>
    <row r="6" spans="1:15" ht="16" x14ac:dyDescent="0.2">
      <c r="B6" s="16" t="s">
        <v>2</v>
      </c>
      <c r="C6" s="7">
        <v>0.05</v>
      </c>
      <c r="D6" s="5">
        <v>67</v>
      </c>
      <c r="E6" s="6">
        <f t="shared" si="0"/>
        <v>3.35</v>
      </c>
      <c r="F6" s="19">
        <v>1</v>
      </c>
      <c r="G6" s="19">
        <f t="shared" si="1"/>
        <v>67</v>
      </c>
      <c r="H6" s="19">
        <f t="shared" si="1"/>
        <v>3.35</v>
      </c>
      <c r="N6" s="12"/>
      <c r="O6" s="13"/>
    </row>
    <row r="7" spans="1:15" ht="16" x14ac:dyDescent="0.2">
      <c r="B7" s="16" t="s">
        <v>3</v>
      </c>
      <c r="C7" s="7">
        <v>0.05</v>
      </c>
      <c r="D7" s="5">
        <v>256</v>
      </c>
      <c r="E7" s="6">
        <f t="shared" si="0"/>
        <v>12.8</v>
      </c>
      <c r="F7" s="19">
        <v>0</v>
      </c>
      <c r="G7" s="19">
        <f t="shared" si="1"/>
        <v>0</v>
      </c>
      <c r="H7" s="19">
        <f t="shared" si="1"/>
        <v>0</v>
      </c>
      <c r="N7" s="12"/>
      <c r="O7" s="13"/>
    </row>
    <row r="8" spans="1:15" ht="16" x14ac:dyDescent="0.2">
      <c r="B8" s="16" t="s">
        <v>4</v>
      </c>
      <c r="C8" s="7">
        <v>0.1</v>
      </c>
      <c r="D8" s="5">
        <v>89</v>
      </c>
      <c r="E8" s="6">
        <f t="shared" si="0"/>
        <v>8.9</v>
      </c>
      <c r="F8" s="19">
        <v>1</v>
      </c>
      <c r="G8" s="19">
        <f t="shared" si="1"/>
        <v>89</v>
      </c>
      <c r="H8" s="19">
        <f t="shared" si="1"/>
        <v>8.9</v>
      </c>
      <c r="N8" s="12"/>
      <c r="O8" s="13"/>
    </row>
    <row r="9" spans="1:15" ht="16" x14ac:dyDescent="0.2">
      <c r="B9" s="16" t="s">
        <v>5</v>
      </c>
      <c r="C9" s="7">
        <v>0.9</v>
      </c>
      <c r="D9" s="5">
        <v>131</v>
      </c>
      <c r="E9" s="6">
        <f t="shared" si="0"/>
        <v>117.9</v>
      </c>
      <c r="F9" s="19">
        <v>1</v>
      </c>
      <c r="G9" s="19">
        <f t="shared" si="1"/>
        <v>131</v>
      </c>
      <c r="H9" s="19">
        <f t="shared" si="1"/>
        <v>117.9</v>
      </c>
      <c r="N9" s="12"/>
      <c r="O9" s="13"/>
    </row>
    <row r="10" spans="1:15" ht="32" x14ac:dyDescent="0.2">
      <c r="B10" s="16" t="s">
        <v>6</v>
      </c>
      <c r="C10" s="4">
        <v>0</v>
      </c>
      <c r="D10" s="5">
        <v>20</v>
      </c>
      <c r="E10" s="6">
        <f t="shared" si="0"/>
        <v>0</v>
      </c>
      <c r="F10" s="19">
        <v>1</v>
      </c>
      <c r="G10" s="19">
        <f t="shared" si="1"/>
        <v>20</v>
      </c>
      <c r="H10" s="19">
        <f t="shared" si="1"/>
        <v>0</v>
      </c>
      <c r="N10" s="12"/>
      <c r="O10" s="13"/>
    </row>
    <row r="11" spans="1:15" ht="16" x14ac:dyDescent="0.2">
      <c r="B11" s="16" t="s">
        <v>7</v>
      </c>
      <c r="C11" s="4">
        <v>0</v>
      </c>
      <c r="D11" s="5">
        <v>68</v>
      </c>
      <c r="E11" s="6">
        <f t="shared" si="0"/>
        <v>0</v>
      </c>
      <c r="F11" s="19">
        <v>1</v>
      </c>
      <c r="G11" s="19">
        <f t="shared" si="1"/>
        <v>68</v>
      </c>
      <c r="H11" s="19">
        <f t="shared" si="1"/>
        <v>0</v>
      </c>
      <c r="N11" s="12"/>
      <c r="O11" s="13"/>
    </row>
    <row r="12" spans="1:15" ht="16" x14ac:dyDescent="0.2">
      <c r="B12" s="16" t="s">
        <v>8</v>
      </c>
      <c r="C12" s="7">
        <v>0.1</v>
      </c>
      <c r="D12" s="5">
        <v>7</v>
      </c>
      <c r="E12" s="6">
        <f t="shared" si="0"/>
        <v>0.70000000000000007</v>
      </c>
      <c r="F12" s="19">
        <v>1</v>
      </c>
      <c r="G12" s="19">
        <f t="shared" si="1"/>
        <v>7</v>
      </c>
      <c r="H12" s="19">
        <f t="shared" si="1"/>
        <v>0.70000000000000007</v>
      </c>
      <c r="N12" s="12"/>
      <c r="O12" s="13"/>
    </row>
    <row r="13" spans="1:15" ht="32" x14ac:dyDescent="0.2">
      <c r="B13" s="16" t="s">
        <v>9</v>
      </c>
      <c r="C13" s="4">
        <v>0</v>
      </c>
      <c r="D13" s="5">
        <v>6</v>
      </c>
      <c r="E13" s="6">
        <f t="shared" si="0"/>
        <v>0</v>
      </c>
      <c r="F13" s="19">
        <v>0</v>
      </c>
      <c r="G13" s="19">
        <f t="shared" si="1"/>
        <v>0</v>
      </c>
      <c r="H13" s="19">
        <f t="shared" si="1"/>
        <v>0</v>
      </c>
      <c r="N13" s="12"/>
      <c r="O13" s="13"/>
    </row>
    <row r="14" spans="1:15" ht="16" x14ac:dyDescent="0.2">
      <c r="B14" s="16" t="s">
        <v>10</v>
      </c>
      <c r="C14" s="4">
        <v>0</v>
      </c>
      <c r="D14" s="5">
        <v>74</v>
      </c>
      <c r="E14" s="6">
        <f t="shared" si="0"/>
        <v>0</v>
      </c>
      <c r="F14" s="19">
        <v>0</v>
      </c>
      <c r="G14" s="19">
        <f t="shared" si="1"/>
        <v>0</v>
      </c>
      <c r="H14" s="19">
        <f t="shared" si="1"/>
        <v>0</v>
      </c>
      <c r="N14" s="12"/>
      <c r="O14" s="13"/>
    </row>
    <row r="15" spans="1:15" ht="32" x14ac:dyDescent="0.2">
      <c r="B15" s="16" t="s">
        <v>11</v>
      </c>
      <c r="C15" s="4">
        <v>0</v>
      </c>
      <c r="D15" s="5">
        <v>51</v>
      </c>
      <c r="E15" s="6">
        <f t="shared" si="0"/>
        <v>0</v>
      </c>
      <c r="F15" s="19">
        <v>0</v>
      </c>
      <c r="G15" s="19">
        <f t="shared" si="1"/>
        <v>0</v>
      </c>
      <c r="H15" s="19">
        <f t="shared" si="1"/>
        <v>0</v>
      </c>
      <c r="N15" s="12"/>
      <c r="O15" s="13"/>
    </row>
    <row r="16" spans="1:15" ht="16" x14ac:dyDescent="0.2">
      <c r="B16" s="16" t="s">
        <v>12</v>
      </c>
      <c r="C16" s="4">
        <v>0</v>
      </c>
      <c r="D16" s="5">
        <v>6</v>
      </c>
      <c r="E16" s="6">
        <f t="shared" si="0"/>
        <v>0</v>
      </c>
      <c r="F16" s="19">
        <v>0</v>
      </c>
      <c r="G16" s="19">
        <f t="shared" si="1"/>
        <v>0</v>
      </c>
      <c r="H16" s="19">
        <f t="shared" si="1"/>
        <v>0</v>
      </c>
      <c r="N16" s="12"/>
      <c r="O16" s="13"/>
    </row>
    <row r="17" spans="2:15" ht="16" x14ac:dyDescent="0.2">
      <c r="B17" s="16" t="s">
        <v>13</v>
      </c>
      <c r="C17" s="7">
        <v>0.05</v>
      </c>
      <c r="D17" s="5">
        <v>161</v>
      </c>
      <c r="E17" s="6">
        <f t="shared" si="0"/>
        <v>8.0500000000000007</v>
      </c>
      <c r="F17" s="19">
        <v>1</v>
      </c>
      <c r="G17" s="19">
        <f t="shared" si="1"/>
        <v>161</v>
      </c>
      <c r="H17" s="19">
        <f t="shared" si="1"/>
        <v>8.0500000000000007</v>
      </c>
      <c r="N17" s="12"/>
      <c r="O17" s="13"/>
    </row>
    <row r="18" spans="2:15" ht="32" x14ac:dyDescent="0.2">
      <c r="B18" s="16" t="s">
        <v>14</v>
      </c>
      <c r="C18" s="4">
        <v>0</v>
      </c>
      <c r="D18" s="5">
        <v>5</v>
      </c>
      <c r="E18" s="6">
        <f t="shared" si="0"/>
        <v>0</v>
      </c>
      <c r="F18" s="19">
        <v>0</v>
      </c>
      <c r="G18" s="19">
        <f t="shared" si="1"/>
        <v>0</v>
      </c>
      <c r="H18" s="19">
        <f t="shared" si="1"/>
        <v>0</v>
      </c>
      <c r="N18" s="12"/>
      <c r="O18" s="13"/>
    </row>
    <row r="19" spans="2:15" ht="16" x14ac:dyDescent="0.2">
      <c r="B19" s="16" t="s">
        <v>15</v>
      </c>
      <c r="C19" s="7">
        <v>0.75</v>
      </c>
      <c r="D19" s="5">
        <v>6</v>
      </c>
      <c r="E19" s="6">
        <f t="shared" si="0"/>
        <v>4.5</v>
      </c>
      <c r="F19" s="19">
        <v>0</v>
      </c>
      <c r="G19" s="19">
        <f t="shared" si="1"/>
        <v>0</v>
      </c>
      <c r="H19" s="19">
        <f t="shared" si="1"/>
        <v>0</v>
      </c>
      <c r="N19" s="12"/>
      <c r="O19" s="13"/>
    </row>
    <row r="20" spans="2:15" ht="32" x14ac:dyDescent="0.2">
      <c r="B20" s="16" t="s">
        <v>16</v>
      </c>
      <c r="C20" s="4">
        <v>0</v>
      </c>
      <c r="D20" s="5">
        <v>4</v>
      </c>
      <c r="E20" s="6">
        <f t="shared" si="0"/>
        <v>0</v>
      </c>
      <c r="F20" s="19">
        <v>1</v>
      </c>
      <c r="G20" s="19">
        <f t="shared" si="1"/>
        <v>4</v>
      </c>
      <c r="H20" s="19">
        <f t="shared" si="1"/>
        <v>0</v>
      </c>
      <c r="N20" s="12"/>
      <c r="O20" s="13"/>
    </row>
    <row r="21" spans="2:15" ht="32" x14ac:dyDescent="0.2">
      <c r="B21" s="16" t="s">
        <v>17</v>
      </c>
      <c r="C21" s="4">
        <v>0</v>
      </c>
      <c r="D21" s="5">
        <v>0</v>
      </c>
      <c r="E21" s="6">
        <f t="shared" si="0"/>
        <v>0</v>
      </c>
      <c r="F21" s="19">
        <v>0</v>
      </c>
      <c r="G21" s="19">
        <f t="shared" si="1"/>
        <v>0</v>
      </c>
      <c r="H21" s="19">
        <f t="shared" si="1"/>
        <v>0</v>
      </c>
    </row>
    <row r="22" spans="2:15" ht="32" x14ac:dyDescent="0.2">
      <c r="B22" s="16" t="s">
        <v>18</v>
      </c>
      <c r="C22" s="7">
        <v>0.2</v>
      </c>
      <c r="D22" s="5">
        <v>133</v>
      </c>
      <c r="E22" s="6">
        <f t="shared" si="0"/>
        <v>26.6</v>
      </c>
      <c r="F22" s="19">
        <v>0</v>
      </c>
      <c r="G22" s="19">
        <f t="shared" si="1"/>
        <v>0</v>
      </c>
      <c r="H22" s="19">
        <f t="shared" si="1"/>
        <v>0</v>
      </c>
    </row>
    <row r="23" spans="2:15" ht="32" x14ac:dyDescent="0.2">
      <c r="B23" s="16" t="s">
        <v>19</v>
      </c>
      <c r="C23" s="4">
        <v>0</v>
      </c>
      <c r="D23" s="5">
        <v>103</v>
      </c>
      <c r="E23" s="6">
        <f t="shared" si="0"/>
        <v>0</v>
      </c>
      <c r="F23" s="19">
        <v>0</v>
      </c>
      <c r="G23" s="19">
        <f t="shared" si="1"/>
        <v>0</v>
      </c>
      <c r="H23" s="19">
        <f t="shared" si="1"/>
        <v>0</v>
      </c>
    </row>
    <row r="24" spans="2:15" ht="16" x14ac:dyDescent="0.2">
      <c r="B24" s="16" t="s">
        <v>20</v>
      </c>
      <c r="C24" s="4">
        <v>0</v>
      </c>
      <c r="D24" s="5">
        <v>16</v>
      </c>
      <c r="E24" s="6">
        <f t="shared" si="0"/>
        <v>0</v>
      </c>
      <c r="F24" s="19">
        <v>1</v>
      </c>
      <c r="G24" s="19">
        <f t="shared" si="1"/>
        <v>16</v>
      </c>
      <c r="H24" s="19">
        <f t="shared" si="1"/>
        <v>0</v>
      </c>
    </row>
    <row r="25" spans="2:15" ht="16" x14ac:dyDescent="0.2">
      <c r="B25" s="16" t="s">
        <v>21</v>
      </c>
      <c r="C25" s="4">
        <v>0</v>
      </c>
      <c r="D25" s="5">
        <v>3</v>
      </c>
      <c r="E25" s="6">
        <f t="shared" si="0"/>
        <v>0</v>
      </c>
      <c r="F25" s="19">
        <v>0</v>
      </c>
      <c r="G25" s="19">
        <f t="shared" si="1"/>
        <v>0</v>
      </c>
      <c r="H25" s="19">
        <f t="shared" si="1"/>
        <v>0</v>
      </c>
    </row>
    <row r="26" spans="2:15" ht="16" x14ac:dyDescent="0.2">
      <c r="B26" s="16" t="s">
        <v>22</v>
      </c>
      <c r="C26" s="4">
        <v>0</v>
      </c>
      <c r="D26" s="5">
        <v>29</v>
      </c>
      <c r="E26" s="6">
        <f t="shared" si="0"/>
        <v>0</v>
      </c>
      <c r="F26" s="19">
        <v>0</v>
      </c>
      <c r="G26" s="19">
        <f t="shared" si="1"/>
        <v>0</v>
      </c>
      <c r="H26" s="19">
        <f t="shared" si="1"/>
        <v>0</v>
      </c>
    </row>
    <row r="27" spans="2:15" ht="16" x14ac:dyDescent="0.2">
      <c r="B27" s="16" t="s">
        <v>23</v>
      </c>
      <c r="C27" s="4">
        <v>0</v>
      </c>
      <c r="D27" s="5">
        <v>14</v>
      </c>
      <c r="E27" s="6">
        <f t="shared" si="0"/>
        <v>0</v>
      </c>
      <c r="F27" s="19">
        <v>0</v>
      </c>
      <c r="G27" s="19">
        <f t="shared" si="1"/>
        <v>0</v>
      </c>
      <c r="H27" s="19">
        <f t="shared" si="1"/>
        <v>0</v>
      </c>
    </row>
    <row r="28" spans="2:15" ht="16" x14ac:dyDescent="0.2">
      <c r="B28" s="16" t="s">
        <v>29</v>
      </c>
      <c r="C28" s="7">
        <v>0</v>
      </c>
      <c r="D28" s="5">
        <v>24</v>
      </c>
      <c r="E28" s="6">
        <f t="shared" si="0"/>
        <v>0</v>
      </c>
      <c r="F28" s="19">
        <v>0</v>
      </c>
      <c r="G28" s="19">
        <f t="shared" si="1"/>
        <v>0</v>
      </c>
      <c r="H28" s="19">
        <f t="shared" si="1"/>
        <v>0</v>
      </c>
    </row>
    <row r="29" spans="2:15" ht="16" x14ac:dyDescent="0.2">
      <c r="B29" s="16" t="s">
        <v>24</v>
      </c>
      <c r="C29" s="4">
        <v>0</v>
      </c>
      <c r="D29" s="5">
        <v>663</v>
      </c>
      <c r="E29" s="6">
        <f t="shared" si="0"/>
        <v>0</v>
      </c>
      <c r="F29" s="19">
        <v>0</v>
      </c>
      <c r="G29" s="19">
        <f t="shared" si="1"/>
        <v>0</v>
      </c>
      <c r="H29" s="19">
        <f t="shared" si="1"/>
        <v>0</v>
      </c>
    </row>
    <row r="30" spans="2:15" ht="16" x14ac:dyDescent="0.2">
      <c r="B30" s="16" t="s">
        <v>25</v>
      </c>
      <c r="C30" s="4">
        <v>0</v>
      </c>
      <c r="D30" s="20">
        <v>136</v>
      </c>
      <c r="E30" s="21">
        <f t="shared" si="0"/>
        <v>0</v>
      </c>
      <c r="F30" s="22">
        <v>0</v>
      </c>
      <c r="G30" s="22">
        <f t="shared" si="1"/>
        <v>0</v>
      </c>
      <c r="H30" s="22">
        <f t="shared" si="1"/>
        <v>0</v>
      </c>
    </row>
    <row r="31" spans="2:15" x14ac:dyDescent="0.2">
      <c r="B31" s="24"/>
      <c r="C31" s="25"/>
      <c r="D31" s="20"/>
      <c r="E31" s="21"/>
      <c r="F31" s="22"/>
      <c r="G31" s="22"/>
      <c r="H31" s="22"/>
    </row>
    <row r="32" spans="2:15" ht="16" x14ac:dyDescent="0.2">
      <c r="B32" s="23" t="s">
        <v>43</v>
      </c>
      <c r="D32" s="3">
        <v>2435</v>
      </c>
      <c r="E32" s="6">
        <f>SUM(E4:E30)</f>
        <v>182.8</v>
      </c>
      <c r="F32" s="19"/>
      <c r="G32" s="19">
        <f>SUM(G4:G30)</f>
        <v>563</v>
      </c>
      <c r="H32" s="19">
        <f>SUM(H4:H30)</f>
        <v>138.9</v>
      </c>
    </row>
    <row r="33" spans="2:8" ht="16" x14ac:dyDescent="0.2">
      <c r="B33" s="23" t="s">
        <v>44</v>
      </c>
      <c r="D33" s="19"/>
      <c r="E33" s="26">
        <f>E32/D32</f>
        <v>7.5071868583162227E-2</v>
      </c>
      <c r="F33" s="27"/>
      <c r="G33" s="19"/>
      <c r="H33" s="26">
        <f>H32/G32</f>
        <v>0.24671403197158082</v>
      </c>
    </row>
    <row r="34" spans="2:8" ht="144" x14ac:dyDescent="0.2">
      <c r="B34" s="17" t="s">
        <v>33</v>
      </c>
      <c r="E34" s="1"/>
    </row>
    <row r="35" spans="2:8" x14ac:dyDescent="0.2">
      <c r="G35" t="s">
        <v>36</v>
      </c>
      <c r="H35">
        <f>H32/G32</f>
        <v>0.24671403197158082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iscovery Data Response Library" ma:contentTypeID="0x01010078A1A4D929017144A85790D17785142400EE6E0270FB7F5B4C97E888C45758AD26" ma:contentTypeVersion="17" ma:contentTypeDescription="" ma:contentTypeScope="" ma:versionID="1d6d4b6ade419988be9f316c0d0efd65">
  <xsd:schema xmlns:xsd="http://www.w3.org/2001/XMLSchema" xmlns:xs="http://www.w3.org/2001/XMLSchema" xmlns:p="http://schemas.microsoft.com/office/2006/metadata/properties" xmlns:ns2="12174cd8-9950-459c-a1a6-43cfa5072f14" xmlns:ns3="f7575cc7-459e-4e34-97b6-1e875b6f85c7" targetNamespace="http://schemas.microsoft.com/office/2006/metadata/properties" ma:root="true" ma:fieldsID="1b36cf3cca9988ba7eecdc06c6dfc3f6" ns2:_="" ns3:_="">
    <xsd:import namespace="12174cd8-9950-459c-a1a6-43cfa5072f14"/>
    <xsd:import namespace="f7575cc7-459e-4e34-97b6-1e875b6f85c7"/>
    <xsd:element name="properties">
      <xsd:complexType>
        <xsd:sequence>
          <xsd:element name="documentManagement">
            <xsd:complexType>
              <xsd:all>
                <xsd:element ref="ns2:DataRequestNumber" minOccurs="0"/>
                <xsd:element ref="ns2:DocumentType" minOccurs="0"/>
                <xsd:element ref="ns2:PDRNumber" minOccurs="0"/>
                <xsd:element ref="ns2:PartyFullName" minOccurs="0"/>
                <xsd:element ref="ns2:SourceType" minOccurs="0"/>
                <xsd:element ref="ns2:PublishedBy" minOccurs="0"/>
                <xsd:element ref="ns2:GroupNumber" minOccurs="0"/>
                <xsd:element ref="ns2:RequestorName" minOccurs="0"/>
                <xsd:element ref="ns2:PublishedTo" minOccurs="0"/>
                <xsd:element ref="ns2:ProceedingName" minOccurs="0"/>
                <xsd:element ref="ns2:DocketNumber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174cd8-9950-459c-a1a6-43cfa5072f14" elementFormDefault="qualified">
    <xsd:import namespace="http://schemas.microsoft.com/office/2006/documentManagement/types"/>
    <xsd:import namespace="http://schemas.microsoft.com/office/infopath/2007/PartnerControls"/>
    <xsd:element name="DataRequestNumber" ma:index="8" nillable="true" ma:displayName="Data Request Number" ma:internalName="DataRequestNumber">
      <xsd:simpleType>
        <xsd:restriction base="dms:Text">
          <xsd:maxLength value="255"/>
        </xsd:restriction>
      </xsd:simpleType>
    </xsd:element>
    <xsd:element name="DocumentType" ma:index="9" nillable="true" ma:displayName="Document Type" ma:format="Dropdown" ma:internalName="DocumentType">
      <xsd:simpleType>
        <xsd:restriction base="dms:Choice">
          <xsd:enumeration value="Attachment"/>
          <xsd:enumeration value="Additional Response"/>
          <xsd:enumeration value="Response"/>
          <xsd:enumeration value="Reference"/>
          <xsd:enumeration value="Final Response"/>
          <xsd:enumeration value="Final Attachment"/>
          <xsd:enumeration value="Compiled Response"/>
          <xsd:enumeration value="Compiled Attachment"/>
          <xsd:enumeration value="Request"/>
          <xsd:enumeration value="Final Public Response"/>
          <xsd:enumeration value="Convenience Copy"/>
        </xsd:restriction>
      </xsd:simpleType>
    </xsd:element>
    <xsd:element name="PDRNumber" ma:index="10" nillable="true" ma:displayName="PDRNumber" ma:internalName="PDRNumber">
      <xsd:simpleType>
        <xsd:restriction base="dms:Text">
          <xsd:maxLength value="255"/>
        </xsd:restriction>
      </xsd:simpleType>
    </xsd:element>
    <xsd:element name="PartyFullName" ma:index="11" nillable="true" ma:displayName="Published By Name" ma:list="{c7ad1ebe-6d89-4549-b4c3-87640fa53c34}" ma:internalName="PartyFullName" ma:showField="FilingEntityName_IntervenorName" ma:web="12174cd8-9950-459c-a1a6-43cfa5072f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ourceType" ma:index="12" nillable="true" ma:displayName="SourceType" ma:internalName="SourceType">
      <xsd:simpleType>
        <xsd:restriction base="dms:Text">
          <xsd:maxLength value="255"/>
        </xsd:restriction>
      </xsd:simpleType>
    </xsd:element>
    <xsd:element name="PublishedBy" ma:index="13" nillable="true" ma:displayName="Published By" ma:internalName="PublishedBy">
      <xsd:simpleType>
        <xsd:restriction base="dms:Text">
          <xsd:maxLength value="255"/>
        </xsd:restriction>
      </xsd:simpleType>
    </xsd:element>
    <xsd:element name="GroupNumber" ma:index="14" nillable="true" ma:displayName="GroupNumber" ma:internalName="GroupNumber">
      <xsd:simpleType>
        <xsd:restriction base="dms:Text">
          <xsd:maxLength value="255"/>
        </xsd:restriction>
      </xsd:simpleType>
    </xsd:element>
    <xsd:element name="RequestorName" ma:index="15" nillable="true" ma:displayName="RequestorName" ma:list="{c7ad1ebe-6d89-4549-b4c3-87640fa53c34}" ma:internalName="RequestorName" ma:showField="FilingEntityName_IntervenorName" ma:web="12174cd8-9950-459c-a1a6-43cfa5072f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ublishedTo" ma:index="16" nillable="true" ma:displayName="PublishedBy" ma:internalName="PublishedTo">
      <xsd:simpleType>
        <xsd:restriction base="dms:Text">
          <xsd:maxLength value="255"/>
        </xsd:restriction>
      </xsd:simpleType>
    </xsd:element>
    <xsd:element name="ProceedingName" ma:index="17" nillable="true" ma:displayName="Proceeding Name" ma:list="{929d9d03-3bb4-4a45-8e1d-4fda27be57c7}" ma:internalName="ProceedingName" ma:showField="Title" ma:web="12174cd8-9950-459c-a1a6-43cfa5072f14">
      <xsd:simpleType>
        <xsd:restriction base="dms:Lookup"/>
      </xsd:simpleType>
    </xsd:element>
    <xsd:element name="DocketNumber" ma:index="18" nillable="true" ma:displayName="Proceeding Number" ma:internalName="DocketNumber">
      <xsd:simpleType>
        <xsd:restriction base="dms:Text">
          <xsd:maxLength value="255"/>
        </xsd:restriction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575cc7-459e-4e34-97b6-1e875b6f85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artyFullName xmlns="12174cd8-9950-459c-a1a6-43cfa5072f14">
      <Value>302</Value>
    </PartyFullName>
    <PDRNumber xmlns="12174cd8-9950-459c-a1a6-43cfa5072f14">PDR_P1860</PDRNumber>
    <DocumentType xmlns="12174cd8-9950-459c-a1a6-43cfa5072f14">Final Attachment</DocumentType>
    <DocketNumber xmlns="12174cd8-9950-459c-a1a6-43cfa5072f14">2025 RAMP TY 2028</DocketNumber>
    <RequestorName xmlns="12174cd8-9950-459c-a1a6-43cfa5072f14" xsi:nil="true"/>
    <ProceedingName xmlns="12174cd8-9950-459c-a1a6-43cfa5072f14">1107</ProceedingName>
    <GroupNumber xmlns="12174cd8-9950-459c-a1a6-43cfa5072f14">R6000_Group1</GroupNumber>
    <SourceType xmlns="12174cd8-9950-459c-a1a6-43cfa5072f14">Workflow Library</SourceType>
    <DataRequestNumber xmlns="12174cd8-9950-459c-a1a6-43cfa5072f14">MGRA-SDGE-001</DataRequestNumber>
    <PublishedBy xmlns="12174cd8-9950-459c-a1a6-43cfa5072f14">SDGE</PublishedBy>
    <PublishedTo xmlns="12174cd8-9950-459c-a1a6-43cfa5072f14">SDGE</PublishedTo>
    <SharedWithUsers xmlns="12174cd8-9950-459c-a1a6-43cfa5072f14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B8E6ABB-70DF-4734-8819-48525CB35D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174cd8-9950-459c-a1a6-43cfa5072f14"/>
    <ds:schemaRef ds:uri="f7575cc7-459e-4e34-97b6-1e875b6f8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AAC654-E478-4390-8A64-004C79529E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3E31DB-0D6D-40C5-A25D-ADCBBEF98F1F}">
  <ds:schemaRefs>
    <ds:schemaRef ds:uri="http://schemas.microsoft.com/office/2006/metadata/properties"/>
    <ds:schemaRef ds:uri="http://schemas.microsoft.com/office/infopath/2007/PartnerControls"/>
    <ds:schemaRef ds:uri="12174cd8-9950-459c-a1a6-43cfa5072f1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Simple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2025-08-27T23:34:28Z</dcterms:created>
  <dcterms:modified xsi:type="dcterms:W3CDTF">2025-11-14T15:47:01Z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0x01010078A1A4D929017144A85790D17785142400EE6E0270FB7F5B4C97E888C45758AD26</vt:lpwstr>
  </property>
  <property fmtid="{D5CDD505-2E9C-101B-9397-08002B2CF9AE}" pid="3" name="MediaServiceImageTags">
    <vt:lpwstr/>
  </property>
  <property fmtid="{D5CDD505-2E9C-101B-9397-08002B2CF9AE}" pid="4" name="FinalSR">
    <vt:lpwstr>No</vt:lpwstr>
  </property>
  <property fmtid="{D5CDD505-2E9C-101B-9397-08002B2CF9AE}" pid="5" name="RequestEventType">
    <vt:lpwstr>Proceeding</vt:lpwstr>
  </property>
  <property fmtid="{D5CDD505-2E9C-101B-9397-08002B2CF9AE}" pid="6" name="DocumentConfidentiality">
    <vt:lpwstr>Non-Confidential</vt:lpwstr>
  </property>
  <property fmtid="{D5CDD505-2E9C-101B-9397-08002B2CF9AE}" pid="7" name="FERCCategory">
    <vt:lpwstr>General</vt:lpwstr>
  </property>
  <property fmtid="{D5CDD505-2E9C-101B-9397-08002B2CF9AE}" pid="8" name="DocumentExclusivity">
    <vt:lpwstr>Non-Exclusive</vt:lpwstr>
  </property>
  <property fmtid="{D5CDD505-2E9C-101B-9397-08002B2CF9AE}" pid="9" name="DocumentNumber">
    <vt:lpwstr>MGRA-SDGE-001_6000</vt:lpwstr>
  </property>
  <property fmtid="{D5CDD505-2E9C-101B-9397-08002B2CF9AE}" pid="10" name="ReferenceCategory">
    <vt:lpwstr>Internal and External</vt:lpwstr>
  </property>
  <property fmtid="{D5CDD505-2E9C-101B-9397-08002B2CF9AE}" pid="11" name="AttorneyReviewed">
    <vt:bool>false</vt:bool>
  </property>
  <property fmtid="{D5CDD505-2E9C-101B-9397-08002B2CF9AE}" pid="12" name="Activity">
    <vt:lpwstr>Inbound Data Request</vt:lpwstr>
  </property>
  <property fmtid="{D5CDD505-2E9C-101B-9397-08002B2CF9AE}" pid="13" name="FilingEntity">
    <vt:lpwstr>1;#;#2;#</vt:lpwstr>
  </property>
  <property fmtid="{D5CDD505-2E9C-101B-9397-08002B2CF9AE}" pid="14" name="DataRequestProfileRequestNumber">
    <vt:lpwstr>MGRA-SDGE-001</vt:lpwstr>
  </property>
  <property fmtid="{D5CDD505-2E9C-101B-9397-08002B2CF9AE}" pid="15" name="xd_ProgID">
    <vt:lpwstr/>
  </property>
  <property fmtid="{D5CDD505-2E9C-101B-9397-08002B2CF9AE}" pid="16" name="RequestScenarioCode">
    <vt:lpwstr>RS4</vt:lpwstr>
  </property>
  <property fmtid="{D5CDD505-2E9C-101B-9397-08002B2CF9AE}" pid="17" name="ConcessionContent">
    <vt:lpwstr>No</vt:lpwstr>
  </property>
  <property fmtid="{D5CDD505-2E9C-101B-9397-08002B2CF9AE}" pid="18" name="_SourceUrl">
    <vt:lpwstr/>
  </property>
  <property fmtid="{D5CDD505-2E9C-101B-9397-08002B2CF9AE}" pid="19" name="_SharedFileIndex">
    <vt:lpwstr/>
  </property>
  <property fmtid="{D5CDD505-2E9C-101B-9397-08002B2CF9AE}" pid="20" name="IsGroup">
    <vt:bool>false</vt:bool>
  </property>
  <property fmtid="{D5CDD505-2E9C-101B-9397-08002B2CF9AE}" pid="21" name="DocumentEdition">
    <vt:lpwstr>First</vt:lpwstr>
  </property>
  <property fmtid="{D5CDD505-2E9C-101B-9397-08002B2CF9AE}" pid="22" name="ProfileItemId">
    <vt:r8>1139</vt:r8>
  </property>
  <property fmtid="{D5CDD505-2E9C-101B-9397-08002B2CF9AE}" pid="23" name="ComplianceAssetId">
    <vt:lpwstr/>
  </property>
  <property fmtid="{D5CDD505-2E9C-101B-9397-08002B2CF9AE}" pid="24" name="TemplateUrl">
    <vt:lpwstr/>
  </property>
  <property fmtid="{D5CDD505-2E9C-101B-9397-08002B2CF9AE}" pid="25" name="RequestScenarioName">
    <vt:lpwstr>Inbound Data Request (With Sub-Requests, Multi-team)</vt:lpwstr>
  </property>
  <property fmtid="{D5CDD505-2E9C-101B-9397-08002B2CF9AE}" pid="26" name="UserUploadedFile">
    <vt:bool>true</vt:bool>
  </property>
  <property fmtid="{D5CDD505-2E9C-101B-9397-08002B2CF9AE}" pid="27" name="CaseManagerReviewed">
    <vt:bool>false</vt:bool>
  </property>
  <property fmtid="{D5CDD505-2E9C-101B-9397-08002B2CF9AE}" pid="28" name="RequestNumber">
    <vt:lpwstr>R6000</vt:lpwstr>
  </property>
  <property fmtid="{D5CDD505-2E9C-101B-9397-08002B2CF9AE}" pid="29" name="_ExtendedDescription">
    <vt:lpwstr/>
  </property>
  <property fmtid="{D5CDD505-2E9C-101B-9397-08002B2CF9AE}" pid="30" name="DocumentGroupName">
    <vt:lpwstr>MGRA-SDGE-001</vt:lpwstr>
  </property>
  <property fmtid="{D5CDD505-2E9C-101B-9397-08002B2CF9AE}" pid="31" name="DocumentName">
    <vt:lpwstr>MGRA-SDGE-001</vt:lpwstr>
  </property>
  <property fmtid="{D5CDD505-2E9C-101B-9397-08002B2CF9AE}" pid="32" name="CollaborationId">
    <vt:r8>6001</vt:r8>
  </property>
  <property fmtid="{D5CDD505-2E9C-101B-9397-08002B2CF9AE}" pid="33" name="DocumentCategory">
    <vt:lpwstr>327</vt:lpwstr>
  </property>
  <property fmtid="{D5CDD505-2E9C-101B-9397-08002B2CF9AE}" pid="34" name="TriggerFlowInfo">
    <vt:lpwstr/>
  </property>
  <property fmtid="{D5CDD505-2E9C-101B-9397-08002B2CF9AE}" pid="35" name="PartyAbbreviation">
    <vt:lpwstr>307;#</vt:lpwstr>
  </property>
  <property fmtid="{D5CDD505-2E9C-101B-9397-08002B2CF9AE}" pid="36" name="RequestType">
    <vt:lpwstr>Document</vt:lpwstr>
  </property>
  <property fmtid="{D5CDD505-2E9C-101B-9397-08002B2CF9AE}" pid="37" name="DocumentStatus">
    <vt:lpwstr>Final</vt:lpwstr>
  </property>
  <property fmtid="{D5CDD505-2E9C-101B-9397-08002B2CF9AE}" pid="38" name="xd_Signature">
    <vt:bool>false</vt:bool>
  </property>
</Properties>
</file>