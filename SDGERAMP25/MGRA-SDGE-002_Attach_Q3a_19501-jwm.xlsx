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m/Work/WEEDS/Business/PowerLines/SDGERAMP25/DRs/MGRA-SDGE-002/"/>
    </mc:Choice>
  </mc:AlternateContent>
  <xr:revisionPtr revIDLastSave="0" documentId="13_ncr:9_{51E5E802-4E87-AD4F-9C63-7FD46AE2AA8F}" xr6:coauthVersionLast="47" xr6:coauthVersionMax="47" xr10:uidLastSave="{00000000-0000-0000-0000-000000000000}"/>
  <bookViews>
    <workbookView xWindow="8820" yWindow="-19160" windowWidth="25240" windowHeight="13940" xr2:uid="{886AA742-7876-2A4B-9931-214138FEA3EC}"/>
  </bookViews>
  <sheets>
    <sheet name="MGRA-SDGE-002_Attach_Q3a_195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" i="1" l="1"/>
  <c r="K2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T79" i="1" l="1"/>
  <c r="T78" i="1"/>
  <c r="T67" i="1"/>
  <c r="T66" i="1"/>
  <c r="T65" i="1"/>
  <c r="T49" i="1"/>
  <c r="T48" i="1"/>
  <c r="T37" i="1"/>
  <c r="T21" i="1"/>
  <c r="T20" i="1"/>
  <c r="T19" i="1"/>
  <c r="T9" i="1"/>
  <c r="N81" i="1"/>
  <c r="N80" i="1"/>
  <c r="T80" i="1" s="1"/>
  <c r="N79" i="1"/>
  <c r="N78" i="1"/>
  <c r="N77" i="1"/>
  <c r="T77" i="1" s="1"/>
  <c r="N76" i="1"/>
  <c r="T76" i="1" s="1"/>
  <c r="N75" i="1"/>
  <c r="T75" i="1" s="1"/>
  <c r="N74" i="1"/>
  <c r="N73" i="1"/>
  <c r="N72" i="1"/>
  <c r="N67" i="1"/>
  <c r="N66" i="1"/>
  <c r="N65" i="1"/>
  <c r="N64" i="1"/>
  <c r="T64" i="1" s="1"/>
  <c r="N63" i="1"/>
  <c r="T63" i="1" s="1"/>
  <c r="N62" i="1"/>
  <c r="T62" i="1" s="1"/>
  <c r="N61" i="1"/>
  <c r="T61" i="1" s="1"/>
  <c r="N60" i="1"/>
  <c r="N59" i="1"/>
  <c r="N58" i="1"/>
  <c r="N53" i="1"/>
  <c r="T53" i="1" s="1"/>
  <c r="N52" i="1"/>
  <c r="T52" i="1" s="1"/>
  <c r="N51" i="1"/>
  <c r="T51" i="1" s="1"/>
  <c r="N50" i="1"/>
  <c r="T50" i="1" s="1"/>
  <c r="N49" i="1"/>
  <c r="N48" i="1"/>
  <c r="N47" i="1"/>
  <c r="T47" i="1" s="1"/>
  <c r="N46" i="1"/>
  <c r="N45" i="1"/>
  <c r="N44" i="1"/>
  <c r="N39" i="1"/>
  <c r="T39" i="1" s="1"/>
  <c r="N38" i="1"/>
  <c r="T38" i="1" s="1"/>
  <c r="N37" i="1"/>
  <c r="N36" i="1"/>
  <c r="T36" i="1" s="1"/>
  <c r="N35" i="1"/>
  <c r="T35" i="1" s="1"/>
  <c r="N34" i="1"/>
  <c r="T34" i="1" s="1"/>
  <c r="N33" i="1"/>
  <c r="T33" i="1" s="1"/>
  <c r="N32" i="1"/>
  <c r="N31" i="1"/>
  <c r="N30" i="1"/>
  <c r="N25" i="1"/>
  <c r="T25" i="1" s="1"/>
  <c r="N24" i="1"/>
  <c r="T24" i="1" s="1"/>
  <c r="N23" i="1"/>
  <c r="T23" i="1" s="1"/>
  <c r="N22" i="1"/>
  <c r="T22" i="1" s="1"/>
  <c r="N21" i="1"/>
  <c r="N20" i="1"/>
  <c r="N19" i="1"/>
  <c r="N18" i="1"/>
  <c r="N17" i="1"/>
  <c r="N16" i="1"/>
  <c r="N11" i="1"/>
  <c r="T11" i="1" s="1"/>
  <c r="N10" i="1"/>
  <c r="T10" i="1" s="1"/>
  <c r="N9" i="1"/>
  <c r="N8" i="1"/>
  <c r="T8" i="1" s="1"/>
  <c r="N7" i="1"/>
  <c r="T7" i="1" s="1"/>
  <c r="N6" i="1"/>
  <c r="T6" i="1" s="1"/>
  <c r="N5" i="1"/>
  <c r="T5" i="1" s="1"/>
  <c r="N4" i="1"/>
  <c r="N3" i="1"/>
  <c r="N2" i="1"/>
  <c r="O66" i="1"/>
  <c r="Q66" i="1" s="1"/>
  <c r="O65" i="1"/>
  <c r="Q65" i="1" s="1"/>
  <c r="O38" i="1"/>
  <c r="Q38" i="1" s="1"/>
  <c r="O37" i="1"/>
  <c r="Q37" i="1" s="1"/>
  <c r="O36" i="1"/>
  <c r="Q36" i="1" s="1"/>
  <c r="O35" i="1"/>
  <c r="Q35" i="1" s="1"/>
  <c r="O32" i="1"/>
  <c r="Q32" i="1" s="1"/>
  <c r="O10" i="1"/>
  <c r="Q10" i="1" s="1"/>
  <c r="N83" i="1"/>
  <c r="N82" i="1"/>
  <c r="N71" i="1"/>
  <c r="N70" i="1"/>
  <c r="N69" i="1"/>
  <c r="T69" i="1" s="1"/>
  <c r="N68" i="1"/>
  <c r="O64" i="1"/>
  <c r="Q64" i="1" s="1"/>
  <c r="O58" i="1"/>
  <c r="Q58" i="1" s="1"/>
  <c r="N57" i="1"/>
  <c r="N56" i="1"/>
  <c r="N55" i="1"/>
  <c r="T55" i="1" s="1"/>
  <c r="N54" i="1"/>
  <c r="T54" i="1" s="1"/>
  <c r="O52" i="1"/>
  <c r="Q52" i="1" s="1"/>
  <c r="O51" i="1"/>
  <c r="Q51" i="1" s="1"/>
  <c r="O50" i="1"/>
  <c r="Q50" i="1" s="1"/>
  <c r="O49" i="1"/>
  <c r="Q49" i="1" s="1"/>
  <c r="N43" i="1"/>
  <c r="N42" i="1"/>
  <c r="N41" i="1"/>
  <c r="T41" i="1" s="1"/>
  <c r="N40" i="1"/>
  <c r="T40" i="1" s="1"/>
  <c r="N29" i="1"/>
  <c r="N28" i="1"/>
  <c r="N26" i="1"/>
  <c r="T26" i="1" s="1"/>
  <c r="O22" i="1"/>
  <c r="Q22" i="1" s="1"/>
  <c r="N15" i="1"/>
  <c r="N14" i="1"/>
  <c r="N13" i="1"/>
  <c r="T13" i="1" s="1"/>
  <c r="N12" i="1"/>
  <c r="E85" i="1"/>
  <c r="G3" i="1"/>
  <c r="H3" i="1" s="1"/>
  <c r="F83" i="1"/>
  <c r="F82" i="1"/>
  <c r="G82" i="1" s="1"/>
  <c r="H82" i="1" s="1"/>
  <c r="F81" i="1"/>
  <c r="G81" i="1" s="1"/>
  <c r="H81" i="1" s="1"/>
  <c r="F80" i="1"/>
  <c r="G80" i="1" s="1"/>
  <c r="H80" i="1" s="1"/>
  <c r="O80" i="1" s="1"/>
  <c r="Q80" i="1" s="1"/>
  <c r="F79" i="1"/>
  <c r="G79" i="1" s="1"/>
  <c r="H79" i="1" s="1"/>
  <c r="O79" i="1" s="1"/>
  <c r="Q79" i="1" s="1"/>
  <c r="F78" i="1"/>
  <c r="G78" i="1" s="1"/>
  <c r="H78" i="1" s="1"/>
  <c r="F77" i="1"/>
  <c r="G77" i="1" s="1"/>
  <c r="H77" i="1" s="1"/>
  <c r="F76" i="1"/>
  <c r="G76" i="1" s="1"/>
  <c r="H76" i="1" s="1"/>
  <c r="F75" i="1"/>
  <c r="G75" i="1" s="1"/>
  <c r="H75" i="1" s="1"/>
  <c r="F74" i="1"/>
  <c r="G74" i="1" s="1"/>
  <c r="H74" i="1" s="1"/>
  <c r="O74" i="1" s="1"/>
  <c r="Q74" i="1" s="1"/>
  <c r="F73" i="1"/>
  <c r="G73" i="1" s="1"/>
  <c r="H73" i="1" s="1"/>
  <c r="O73" i="1" s="1"/>
  <c r="Q73" i="1" s="1"/>
  <c r="F72" i="1"/>
  <c r="G72" i="1" s="1"/>
  <c r="H72" i="1" s="1"/>
  <c r="O72" i="1" s="1"/>
  <c r="Q72" i="1" s="1"/>
  <c r="F71" i="1"/>
  <c r="G71" i="1" s="1"/>
  <c r="H71" i="1" s="1"/>
  <c r="F70" i="1"/>
  <c r="F69" i="1"/>
  <c r="G69" i="1" s="1"/>
  <c r="H69" i="1" s="1"/>
  <c r="F68" i="1"/>
  <c r="G68" i="1" s="1"/>
  <c r="H68" i="1" s="1"/>
  <c r="F67" i="1"/>
  <c r="G67" i="1" s="1"/>
  <c r="H67" i="1" s="1"/>
  <c r="F66" i="1"/>
  <c r="G66" i="1" s="1"/>
  <c r="H66" i="1" s="1"/>
  <c r="F65" i="1"/>
  <c r="G65" i="1" s="1"/>
  <c r="H65" i="1" s="1"/>
  <c r="F64" i="1"/>
  <c r="G64" i="1" s="1"/>
  <c r="H64" i="1" s="1"/>
  <c r="F63" i="1"/>
  <c r="G63" i="1" s="1"/>
  <c r="H63" i="1" s="1"/>
  <c r="F62" i="1"/>
  <c r="G62" i="1" s="1"/>
  <c r="H62" i="1" s="1"/>
  <c r="F61" i="1"/>
  <c r="G61" i="1" s="1"/>
  <c r="H61" i="1" s="1"/>
  <c r="F60" i="1"/>
  <c r="G60" i="1" s="1"/>
  <c r="H60" i="1" s="1"/>
  <c r="O60" i="1" s="1"/>
  <c r="Q60" i="1" s="1"/>
  <c r="F59" i="1"/>
  <c r="G59" i="1" s="1"/>
  <c r="H59" i="1" s="1"/>
  <c r="O59" i="1" s="1"/>
  <c r="Q59" i="1" s="1"/>
  <c r="F58" i="1"/>
  <c r="G58" i="1" s="1"/>
  <c r="H58" i="1" s="1"/>
  <c r="F57" i="1"/>
  <c r="G57" i="1" s="1"/>
  <c r="H57" i="1" s="1"/>
  <c r="F56" i="1"/>
  <c r="F55" i="1"/>
  <c r="G55" i="1" s="1"/>
  <c r="H55" i="1" s="1"/>
  <c r="F54" i="1"/>
  <c r="G54" i="1" s="1"/>
  <c r="H54" i="1" s="1"/>
  <c r="F53" i="1"/>
  <c r="G53" i="1" s="1"/>
  <c r="H53" i="1" s="1"/>
  <c r="F52" i="1"/>
  <c r="G52" i="1" s="1"/>
  <c r="H52" i="1" s="1"/>
  <c r="F51" i="1"/>
  <c r="G51" i="1" s="1"/>
  <c r="H51" i="1" s="1"/>
  <c r="F50" i="1"/>
  <c r="G50" i="1" s="1"/>
  <c r="H50" i="1" s="1"/>
  <c r="F49" i="1"/>
  <c r="G49" i="1" s="1"/>
  <c r="H49" i="1" s="1"/>
  <c r="F48" i="1"/>
  <c r="G48" i="1" s="1"/>
  <c r="H48" i="1" s="1"/>
  <c r="F47" i="1"/>
  <c r="G47" i="1" s="1"/>
  <c r="H47" i="1" s="1"/>
  <c r="F46" i="1"/>
  <c r="G46" i="1" s="1"/>
  <c r="H46" i="1" s="1"/>
  <c r="O46" i="1" s="1"/>
  <c r="Q46" i="1" s="1"/>
  <c r="F45" i="1"/>
  <c r="G45" i="1" s="1"/>
  <c r="H45" i="1" s="1"/>
  <c r="F44" i="1"/>
  <c r="F43" i="1"/>
  <c r="F42" i="1"/>
  <c r="F41" i="1"/>
  <c r="G41" i="1" s="1"/>
  <c r="H41" i="1" s="1"/>
  <c r="O41" i="1" s="1"/>
  <c r="Q41" i="1" s="1"/>
  <c r="F40" i="1"/>
  <c r="G40" i="1" s="1"/>
  <c r="H40" i="1" s="1"/>
  <c r="F39" i="1"/>
  <c r="G39" i="1" s="1"/>
  <c r="H39" i="1" s="1"/>
  <c r="F38" i="1"/>
  <c r="G38" i="1" s="1"/>
  <c r="H38" i="1" s="1"/>
  <c r="F37" i="1"/>
  <c r="G37" i="1" s="1"/>
  <c r="H37" i="1" s="1"/>
  <c r="F36" i="1"/>
  <c r="G36" i="1" s="1"/>
  <c r="H36" i="1" s="1"/>
  <c r="F35" i="1"/>
  <c r="G35" i="1" s="1"/>
  <c r="H35" i="1" s="1"/>
  <c r="F34" i="1"/>
  <c r="G34" i="1" s="1"/>
  <c r="H34" i="1" s="1"/>
  <c r="F33" i="1"/>
  <c r="G33" i="1" s="1"/>
  <c r="H33" i="1" s="1"/>
  <c r="F32" i="1"/>
  <c r="G32" i="1" s="1"/>
  <c r="H32" i="1" s="1"/>
  <c r="F31" i="1"/>
  <c r="G31" i="1" s="1"/>
  <c r="H31" i="1" s="1"/>
  <c r="F30" i="1"/>
  <c r="G30" i="1" s="1"/>
  <c r="H30" i="1" s="1"/>
  <c r="F29" i="1"/>
  <c r="G29" i="1" s="1"/>
  <c r="H29" i="1" s="1"/>
  <c r="F28" i="1"/>
  <c r="F27" i="1"/>
  <c r="G27" i="1" s="1"/>
  <c r="H27" i="1" s="1"/>
  <c r="O27" i="1" s="1"/>
  <c r="Q27" i="1" s="1"/>
  <c r="F26" i="1"/>
  <c r="G26" i="1" s="1"/>
  <c r="H26" i="1" s="1"/>
  <c r="F25" i="1"/>
  <c r="G25" i="1" s="1"/>
  <c r="H25" i="1" s="1"/>
  <c r="F24" i="1"/>
  <c r="G24" i="1" s="1"/>
  <c r="H24" i="1" s="1"/>
  <c r="O24" i="1" s="1"/>
  <c r="Q24" i="1" s="1"/>
  <c r="F23" i="1"/>
  <c r="G23" i="1" s="1"/>
  <c r="H23" i="1" s="1"/>
  <c r="O23" i="1" s="1"/>
  <c r="Q23" i="1" s="1"/>
  <c r="F22" i="1"/>
  <c r="G22" i="1" s="1"/>
  <c r="H22" i="1" s="1"/>
  <c r="F21" i="1"/>
  <c r="G21" i="1" s="1"/>
  <c r="H21" i="1" s="1"/>
  <c r="O21" i="1" s="1"/>
  <c r="Q21" i="1" s="1"/>
  <c r="F20" i="1"/>
  <c r="G20" i="1" s="1"/>
  <c r="H20" i="1" s="1"/>
  <c r="F19" i="1"/>
  <c r="G19" i="1" s="1"/>
  <c r="H19" i="1" s="1"/>
  <c r="F18" i="1"/>
  <c r="G18" i="1" s="1"/>
  <c r="H18" i="1" s="1"/>
  <c r="O18" i="1" s="1"/>
  <c r="Q18" i="1" s="1"/>
  <c r="F17" i="1"/>
  <c r="G17" i="1" s="1"/>
  <c r="H17" i="1" s="1"/>
  <c r="F16" i="1"/>
  <c r="G16" i="1" s="1"/>
  <c r="H16" i="1" s="1"/>
  <c r="F15" i="1"/>
  <c r="G15" i="1" s="1"/>
  <c r="H15" i="1" s="1"/>
  <c r="F14" i="1"/>
  <c r="F13" i="1"/>
  <c r="G13" i="1" s="1"/>
  <c r="H13" i="1" s="1"/>
  <c r="O13" i="1" s="1"/>
  <c r="Q13" i="1" s="1"/>
  <c r="F12" i="1"/>
  <c r="G12" i="1" s="1"/>
  <c r="H12" i="1" s="1"/>
  <c r="F11" i="1"/>
  <c r="G11" i="1" s="1"/>
  <c r="H11" i="1" s="1"/>
  <c r="F10" i="1"/>
  <c r="G10" i="1" s="1"/>
  <c r="H10" i="1" s="1"/>
  <c r="F9" i="1"/>
  <c r="G9" i="1" s="1"/>
  <c r="H9" i="1" s="1"/>
  <c r="O9" i="1" s="1"/>
  <c r="Q9" i="1" s="1"/>
  <c r="F8" i="1"/>
  <c r="G8" i="1" s="1"/>
  <c r="H8" i="1" s="1"/>
  <c r="O8" i="1" s="1"/>
  <c r="Q8" i="1" s="1"/>
  <c r="F7" i="1"/>
  <c r="G7" i="1" s="1"/>
  <c r="H7" i="1" s="1"/>
  <c r="O7" i="1" s="1"/>
  <c r="Q7" i="1" s="1"/>
  <c r="F6" i="1"/>
  <c r="G6" i="1" s="1"/>
  <c r="H6" i="1" s="1"/>
  <c r="F5" i="1"/>
  <c r="G5" i="1" s="1"/>
  <c r="H5" i="1" s="1"/>
  <c r="F4" i="1"/>
  <c r="G4" i="1" s="1"/>
  <c r="H4" i="1" s="1"/>
  <c r="O4" i="1" s="1"/>
  <c r="Q4" i="1" s="1"/>
  <c r="F3" i="1"/>
  <c r="F2" i="1"/>
  <c r="G2" i="1" s="1"/>
  <c r="H2" i="1" s="1"/>
  <c r="L85" i="1"/>
  <c r="D85" i="1"/>
  <c r="C85" i="1"/>
  <c r="T12" i="1" l="1"/>
  <c r="T68" i="1"/>
  <c r="T83" i="1"/>
  <c r="T82" i="1"/>
  <c r="O33" i="1"/>
  <c r="Q33" i="1" s="1"/>
  <c r="O6" i="1"/>
  <c r="Q6" i="1" s="1"/>
  <c r="O20" i="1"/>
  <c r="Q20" i="1" s="1"/>
  <c r="O34" i="1"/>
  <c r="Q34" i="1" s="1"/>
  <c r="O48" i="1"/>
  <c r="Q48" i="1" s="1"/>
  <c r="O62" i="1"/>
  <c r="Q62" i="1" s="1"/>
  <c r="O76" i="1"/>
  <c r="Q76" i="1" s="1"/>
  <c r="O15" i="1"/>
  <c r="Q15" i="1" s="1"/>
  <c r="T81" i="1"/>
  <c r="T70" i="1"/>
  <c r="O31" i="1"/>
  <c r="Q31" i="1" s="1"/>
  <c r="O61" i="1"/>
  <c r="Q61" i="1" s="1"/>
  <c r="O77" i="1"/>
  <c r="Q77" i="1" s="1"/>
  <c r="T56" i="1"/>
  <c r="T15" i="1"/>
  <c r="T29" i="1"/>
  <c r="T43" i="1"/>
  <c r="T57" i="1"/>
  <c r="T71" i="1"/>
  <c r="O17" i="1"/>
  <c r="Q17" i="1" s="1"/>
  <c r="O47" i="1"/>
  <c r="Q47" i="1" s="1"/>
  <c r="T42" i="1"/>
  <c r="O11" i="1"/>
  <c r="Q11" i="1" s="1"/>
  <c r="O25" i="1"/>
  <c r="Q25" i="1" s="1"/>
  <c r="O39" i="1"/>
  <c r="Q39" i="1" s="1"/>
  <c r="O53" i="1"/>
  <c r="Q53" i="1" s="1"/>
  <c r="O67" i="1"/>
  <c r="Q67" i="1" s="1"/>
  <c r="O81" i="1"/>
  <c r="Q81" i="1" s="1"/>
  <c r="O57" i="1"/>
  <c r="Q57" i="1" s="1"/>
  <c r="N27" i="1"/>
  <c r="T27" i="1" s="1"/>
  <c r="T2" i="1"/>
  <c r="T16" i="1"/>
  <c r="T30" i="1"/>
  <c r="T44" i="1"/>
  <c r="T58" i="1"/>
  <c r="T72" i="1"/>
  <c r="O2" i="1"/>
  <c r="Q2" i="1" s="1"/>
  <c r="O71" i="1"/>
  <c r="Q71" i="1" s="1"/>
  <c r="O3" i="1"/>
  <c r="Q3" i="1" s="1"/>
  <c r="O45" i="1"/>
  <c r="Q45" i="1" s="1"/>
  <c r="O19" i="1"/>
  <c r="Q19" i="1" s="1"/>
  <c r="O63" i="1"/>
  <c r="Q63" i="1" s="1"/>
  <c r="O78" i="1"/>
  <c r="Q78" i="1" s="1"/>
  <c r="T28" i="1"/>
  <c r="O12" i="1"/>
  <c r="Q12" i="1" s="1"/>
  <c r="O26" i="1"/>
  <c r="Q26" i="1" s="1"/>
  <c r="O40" i="1"/>
  <c r="Q40" i="1" s="1"/>
  <c r="O54" i="1"/>
  <c r="Q54" i="1" s="1"/>
  <c r="O68" i="1"/>
  <c r="Q68" i="1" s="1"/>
  <c r="O82" i="1"/>
  <c r="Q82" i="1" s="1"/>
  <c r="T3" i="1"/>
  <c r="T17" i="1"/>
  <c r="T31" i="1"/>
  <c r="T45" i="1"/>
  <c r="T59" i="1"/>
  <c r="T73" i="1"/>
  <c r="O16" i="1"/>
  <c r="Q16" i="1" s="1"/>
  <c r="O5" i="1"/>
  <c r="Q5" i="1" s="1"/>
  <c r="T14" i="1"/>
  <c r="O69" i="1"/>
  <c r="Q69" i="1" s="1"/>
  <c r="O29" i="1"/>
  <c r="Q29" i="1" s="1"/>
  <c r="T4" i="1"/>
  <c r="T18" i="1"/>
  <c r="T32" i="1"/>
  <c r="T46" i="1"/>
  <c r="T60" i="1"/>
  <c r="T74" i="1"/>
  <c r="R85" i="1"/>
  <c r="O30" i="1"/>
  <c r="Q30" i="1" s="1"/>
  <c r="M85" i="1"/>
  <c r="G83" i="1"/>
  <c r="H83" i="1" s="1"/>
  <c r="O83" i="1" s="1"/>
  <c r="Q83" i="1" s="1"/>
  <c r="G14" i="1"/>
  <c r="G28" i="1"/>
  <c r="H28" i="1" s="1"/>
  <c r="O28" i="1" s="1"/>
  <c r="Q28" i="1" s="1"/>
  <c r="G42" i="1"/>
  <c r="H42" i="1" s="1"/>
  <c r="O42" i="1" s="1"/>
  <c r="Q42" i="1" s="1"/>
  <c r="G56" i="1"/>
  <c r="H56" i="1" s="1"/>
  <c r="O56" i="1" s="1"/>
  <c r="Q56" i="1" s="1"/>
  <c r="G70" i="1"/>
  <c r="H70" i="1" s="1"/>
  <c r="O70" i="1" s="1"/>
  <c r="Q70" i="1" s="1"/>
  <c r="G43" i="1"/>
  <c r="H43" i="1" s="1"/>
  <c r="O43" i="1" s="1"/>
  <c r="Q43" i="1" s="1"/>
  <c r="G44" i="1"/>
  <c r="H44" i="1" s="1"/>
  <c r="O44" i="1" s="1"/>
  <c r="Q44" i="1" s="1"/>
  <c r="F85" i="1"/>
  <c r="D87" i="1" s="1"/>
  <c r="T85" i="1" l="1"/>
  <c r="N85" i="1"/>
  <c r="I70" i="1"/>
  <c r="S70" i="1" s="1"/>
  <c r="I56" i="1"/>
  <c r="S56" i="1" s="1"/>
  <c r="I42" i="1"/>
  <c r="S42" i="1" s="1"/>
  <c r="I28" i="1"/>
  <c r="S28" i="1" s="1"/>
  <c r="I14" i="1"/>
  <c r="S14" i="1" s="1"/>
  <c r="I10" i="1"/>
  <c r="S10" i="1" s="1"/>
  <c r="I79" i="1"/>
  <c r="S79" i="1" s="1"/>
  <c r="I23" i="1"/>
  <c r="S23" i="1" s="1"/>
  <c r="I9" i="1"/>
  <c r="S9" i="1" s="1"/>
  <c r="I50" i="1"/>
  <c r="S50" i="1" s="1"/>
  <c r="I22" i="1"/>
  <c r="S22" i="1" s="1"/>
  <c r="I49" i="1"/>
  <c r="S49" i="1" s="1"/>
  <c r="I7" i="1"/>
  <c r="S7" i="1" s="1"/>
  <c r="I20" i="1"/>
  <c r="S20" i="1" s="1"/>
  <c r="I33" i="1"/>
  <c r="S33" i="1" s="1"/>
  <c r="I46" i="1"/>
  <c r="S46" i="1" s="1"/>
  <c r="I4" i="1"/>
  <c r="S4" i="1" s="1"/>
  <c r="I73" i="1"/>
  <c r="S73" i="1" s="1"/>
  <c r="I31" i="1"/>
  <c r="S31" i="1" s="1"/>
  <c r="I58" i="1"/>
  <c r="S58" i="1" s="1"/>
  <c r="I16" i="1"/>
  <c r="S16" i="1" s="1"/>
  <c r="I57" i="1"/>
  <c r="S57" i="1" s="1"/>
  <c r="I15" i="1"/>
  <c r="S15" i="1" s="1"/>
  <c r="I83" i="1"/>
  <c r="S83" i="1" s="1"/>
  <c r="I69" i="1"/>
  <c r="S69" i="1" s="1"/>
  <c r="I55" i="1"/>
  <c r="S55" i="1" s="1"/>
  <c r="I41" i="1"/>
  <c r="S41" i="1" s="1"/>
  <c r="I27" i="1"/>
  <c r="S27" i="1" s="1"/>
  <c r="I13" i="1"/>
  <c r="S13" i="1" s="1"/>
  <c r="I52" i="1"/>
  <c r="S52" i="1" s="1"/>
  <c r="I38" i="1"/>
  <c r="S38" i="1" s="1"/>
  <c r="I24" i="1"/>
  <c r="S24" i="1" s="1"/>
  <c r="I65" i="1"/>
  <c r="S65" i="1" s="1"/>
  <c r="I36" i="1"/>
  <c r="S36" i="1" s="1"/>
  <c r="I63" i="1"/>
  <c r="S63" i="1" s="1"/>
  <c r="I21" i="1"/>
  <c r="S21" i="1" s="1"/>
  <c r="I48" i="1"/>
  <c r="S48" i="1" s="1"/>
  <c r="I61" i="1"/>
  <c r="S61" i="1" s="1"/>
  <c r="I19" i="1"/>
  <c r="S19" i="1" s="1"/>
  <c r="I32" i="1"/>
  <c r="S32" i="1" s="1"/>
  <c r="I45" i="1"/>
  <c r="S45" i="1" s="1"/>
  <c r="I17" i="1"/>
  <c r="S17" i="1" s="1"/>
  <c r="I44" i="1"/>
  <c r="S44" i="1" s="1"/>
  <c r="I2" i="1"/>
  <c r="S2" i="1" s="1"/>
  <c r="I71" i="1"/>
  <c r="S71" i="1" s="1"/>
  <c r="I82" i="1"/>
  <c r="S82" i="1" s="1"/>
  <c r="I68" i="1"/>
  <c r="S68" i="1" s="1"/>
  <c r="I54" i="1"/>
  <c r="S54" i="1" s="1"/>
  <c r="I40" i="1"/>
  <c r="S40" i="1" s="1"/>
  <c r="I26" i="1"/>
  <c r="S26" i="1" s="1"/>
  <c r="I12" i="1"/>
  <c r="S12" i="1" s="1"/>
  <c r="I80" i="1"/>
  <c r="S80" i="1" s="1"/>
  <c r="I51" i="1"/>
  <c r="S51" i="1" s="1"/>
  <c r="I64" i="1"/>
  <c r="S64" i="1" s="1"/>
  <c r="I8" i="1"/>
  <c r="S8" i="1" s="1"/>
  <c r="I77" i="1"/>
  <c r="S77" i="1" s="1"/>
  <c r="I62" i="1"/>
  <c r="S62" i="1" s="1"/>
  <c r="I6" i="1"/>
  <c r="S6" i="1" s="1"/>
  <c r="I47" i="1"/>
  <c r="S47" i="1" s="1"/>
  <c r="I60" i="1"/>
  <c r="S60" i="1" s="1"/>
  <c r="I18" i="1"/>
  <c r="S18" i="1" s="1"/>
  <c r="I59" i="1"/>
  <c r="S59" i="1" s="1"/>
  <c r="I3" i="1"/>
  <c r="S3" i="1" s="1"/>
  <c r="I43" i="1"/>
  <c r="S43" i="1" s="1"/>
  <c r="I29" i="1"/>
  <c r="S29" i="1" s="1"/>
  <c r="I81" i="1"/>
  <c r="S81" i="1" s="1"/>
  <c r="I67" i="1"/>
  <c r="S67" i="1" s="1"/>
  <c r="I53" i="1"/>
  <c r="S53" i="1" s="1"/>
  <c r="I39" i="1"/>
  <c r="S39" i="1" s="1"/>
  <c r="I25" i="1"/>
  <c r="S25" i="1" s="1"/>
  <c r="I11" i="1"/>
  <c r="S11" i="1" s="1"/>
  <c r="I66" i="1"/>
  <c r="S66" i="1" s="1"/>
  <c r="I37" i="1"/>
  <c r="S37" i="1" s="1"/>
  <c r="I78" i="1"/>
  <c r="S78" i="1" s="1"/>
  <c r="I35" i="1"/>
  <c r="S35" i="1" s="1"/>
  <c r="I34" i="1"/>
  <c r="S34" i="1" s="1"/>
  <c r="I75" i="1"/>
  <c r="S75" i="1" s="1"/>
  <c r="I5" i="1"/>
  <c r="S5" i="1" s="1"/>
  <c r="I74" i="1"/>
  <c r="S74" i="1" s="1"/>
  <c r="I72" i="1"/>
  <c r="S72" i="1" s="1"/>
  <c r="I30" i="1"/>
  <c r="S30" i="1" s="1"/>
  <c r="I76" i="1"/>
  <c r="S76" i="1" s="1"/>
  <c r="G85" i="1"/>
  <c r="H14" i="1"/>
  <c r="S85" i="1" l="1"/>
  <c r="H85" i="1"/>
  <c r="O14" i="1"/>
  <c r="Q14" i="1" s="1"/>
  <c r="Q85" i="1" s="1"/>
  <c r="I85" i="1"/>
  <c r="O85" i="1" s="1"/>
</calcChain>
</file>

<file path=xl/sharedStrings.xml><?xml version="1.0" encoding="utf-8"?>
<sst xmlns="http://schemas.openxmlformats.org/spreadsheetml/2006/main" count="108" uniqueCount="108">
  <si>
    <t>segment_id</t>
  </si>
  <si>
    <t>proj_annual_psps_outage_minutes</t>
  </si>
  <si>
    <t>commercial_customer_ct</t>
  </si>
  <si>
    <t>residential_customer_ct</t>
  </si>
  <si>
    <t>max_wind_gust</t>
  </si>
  <si>
    <t>proposed_sug_miles</t>
  </si>
  <si>
    <t>potential_bundling_option</t>
  </si>
  <si>
    <t>1021-1748F</t>
  </si>
  <si>
    <t>1021-1760R</t>
  </si>
  <si>
    <t>1021-25R</t>
  </si>
  <si>
    <t>1021-855</t>
  </si>
  <si>
    <t>1021-883R</t>
  </si>
  <si>
    <t>1022-17F</t>
  </si>
  <si>
    <t>1030-1777</t>
  </si>
  <si>
    <t>1030-18R</t>
  </si>
  <si>
    <t>1030-20R</t>
  </si>
  <si>
    <t>1030-42R</t>
  </si>
  <si>
    <t>1030-989R</t>
  </si>
  <si>
    <t>1166-18R</t>
  </si>
  <si>
    <t>176-161R</t>
  </si>
  <si>
    <t>211-312R</t>
  </si>
  <si>
    <t>212-1204R</t>
  </si>
  <si>
    <t>212-758R</t>
  </si>
  <si>
    <t>214-1122R</t>
  </si>
  <si>
    <t>214-1135R</t>
  </si>
  <si>
    <t>215-1531R</t>
  </si>
  <si>
    <t>215-1534R</t>
  </si>
  <si>
    <t>215-38R</t>
  </si>
  <si>
    <t>217-835R</t>
  </si>
  <si>
    <t>222-1433R</t>
  </si>
  <si>
    <t>222-1503R</t>
  </si>
  <si>
    <t>222-1523R</t>
  </si>
  <si>
    <t>222-1986R</t>
  </si>
  <si>
    <t>222-1988R</t>
  </si>
  <si>
    <t>222-1990R</t>
  </si>
  <si>
    <t>222-1992R</t>
  </si>
  <si>
    <t>222-2013R</t>
  </si>
  <si>
    <t>222-2063</t>
  </si>
  <si>
    <t>222-2085</t>
  </si>
  <si>
    <t>235-897R</t>
  </si>
  <si>
    <t>235-899R</t>
  </si>
  <si>
    <t>236-1535R</t>
  </si>
  <si>
    <t>236-1561R</t>
  </si>
  <si>
    <t>236-1563R</t>
  </si>
  <si>
    <t>236-1567R</t>
  </si>
  <si>
    <t>236-1573R</t>
  </si>
  <si>
    <t>237-1761R</t>
  </si>
  <si>
    <t>237-1765R</t>
  </si>
  <si>
    <t>237-26F</t>
  </si>
  <si>
    <t>237-28F</t>
  </si>
  <si>
    <t>237-2R</t>
  </si>
  <si>
    <t>237-30R</t>
  </si>
  <si>
    <t>239-2211R</t>
  </si>
  <si>
    <t>351-819R</t>
  </si>
  <si>
    <t>351-871R</t>
  </si>
  <si>
    <t>352-27R</t>
  </si>
  <si>
    <t>354-1706R</t>
  </si>
  <si>
    <t>354-24AE</t>
  </si>
  <si>
    <t>357-2049F</t>
  </si>
  <si>
    <t>358-682F</t>
  </si>
  <si>
    <t>452-38AE</t>
  </si>
  <si>
    <t>520-1525R</t>
  </si>
  <si>
    <t>520-45</t>
  </si>
  <si>
    <t>524-1782F</t>
  </si>
  <si>
    <t>524-27R</t>
  </si>
  <si>
    <t>524-46R</t>
  </si>
  <si>
    <t>524-50R</t>
  </si>
  <si>
    <t>597-595</t>
  </si>
  <si>
    <t>79-658R</t>
  </si>
  <si>
    <t>79-676R</t>
  </si>
  <si>
    <t>79-679R</t>
  </si>
  <si>
    <t>79-714R</t>
  </si>
  <si>
    <t>79-785</t>
  </si>
  <si>
    <t>79-808R</t>
  </si>
  <si>
    <t>908-1172R</t>
  </si>
  <si>
    <t>908-2038R</t>
  </si>
  <si>
    <t>908-2055F</t>
  </si>
  <si>
    <t>972-1582R</t>
  </si>
  <si>
    <t>972-942R</t>
  </si>
  <si>
    <t>CB 1090</t>
  </si>
  <si>
    <t>CB 215</t>
  </si>
  <si>
    <t>CB 236</t>
  </si>
  <si>
    <t>CB 351</t>
  </si>
  <si>
    <t>CB 971</t>
  </si>
  <si>
    <t>CB CTL1</t>
  </si>
  <si>
    <t>CB RA2</t>
  </si>
  <si>
    <t>CTL1-3R</t>
  </si>
  <si>
    <t>RA1-402R</t>
  </si>
  <si>
    <t>TM1-10R</t>
  </si>
  <si>
    <t>TOTALS</t>
  </si>
  <si>
    <t>total_cust</t>
  </si>
  <si>
    <t>$CMI_avg_annual</t>
  </si>
  <si>
    <t>TCm$</t>
  </si>
  <si>
    <t>Mn*(Cm*TCm$+Rsd*0.05)=TCM$</t>
  </si>
  <si>
    <t>CM_avg_annual</t>
  </si>
  <si>
    <t>Cm/Tot*TCm$+Rsd/Tot*0.05=3.67</t>
  </si>
  <si>
    <t>$CMI_adj_annual</t>
  </si>
  <si>
    <t>$sug</t>
  </si>
  <si>
    <t>ROI-Yr</t>
  </si>
  <si>
    <t>&lt;55 yr</t>
  </si>
  <si>
    <t>Battery&lt;CMI</t>
  </si>
  <si>
    <t>$Battery-ann</t>
  </si>
  <si>
    <t>$sug-ann</t>
  </si>
  <si>
    <t>Battery&lt;sug</t>
  </si>
  <si>
    <t>Res Batt</t>
  </si>
  <si>
    <t>Comc Batt</t>
  </si>
  <si>
    <t>Batt Life (yr)</t>
  </si>
  <si>
    <t>gust&gt;55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</si>
</sst>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6BCD-3DE6-4F4B-A036-CA75E819523A}">
  <dimension ref="A1:T91"/>
  <sheetViews>
    <sheetView tabSelected="1" topLeftCell="D67" workbookViewId="0">
      <selection activeCell="K85" sqref="K85"/>
    </sheetView>
  </sheetViews>
  <sheetFormatPr baseColWidth="10" defaultRowHeight="16"/>
  <cols>
    <col min="3" max="3" width="14.5" customWidth="1"/>
    <col min="4" max="4" width="18.33203125" customWidth="1"/>
    <col min="5" max="5" width="20.33203125" customWidth="1"/>
    <col min="6" max="6" width="13.1640625" customWidth="1"/>
    <col min="7" max="7" width="14.83203125" customWidth="1"/>
    <col min="8" max="9" width="18.5" customWidth="1"/>
    <col min="12" max="12" width="18.1640625" customWidth="1"/>
    <col min="13" max="13" width="18" customWidth="1"/>
    <col min="14" max="14" width="16.83203125" customWidth="1"/>
    <col min="15" max="15" width="15.5" customWidth="1"/>
    <col min="16" max="16" width="24.1640625" customWidth="1"/>
    <col min="18" max="18" width="15.5" style="1" customWidth="1"/>
  </cols>
  <sheetData>
    <row r="1" spans="1:20">
      <c r="A1" t="s">
        <v>104</v>
      </c>
      <c r="B1" t="s">
        <v>0</v>
      </c>
      <c r="C1" t="s">
        <v>1</v>
      </c>
      <c r="D1" t="s">
        <v>2</v>
      </c>
      <c r="E1" t="s">
        <v>3</v>
      </c>
      <c r="F1" t="s">
        <v>90</v>
      </c>
      <c r="G1" t="s">
        <v>94</v>
      </c>
      <c r="H1" t="s">
        <v>91</v>
      </c>
      <c r="I1" t="s">
        <v>96</v>
      </c>
      <c r="J1" t="s">
        <v>4</v>
      </c>
      <c r="K1" t="s">
        <v>107</v>
      </c>
      <c r="L1" t="s">
        <v>5</v>
      </c>
      <c r="M1" t="s">
        <v>97</v>
      </c>
      <c r="N1" t="s">
        <v>102</v>
      </c>
      <c r="O1" t="s">
        <v>98</v>
      </c>
      <c r="P1" t="s">
        <v>6</v>
      </c>
      <c r="Q1" t="s">
        <v>99</v>
      </c>
      <c r="R1" s="1" t="s">
        <v>101</v>
      </c>
      <c r="S1" t="s">
        <v>100</v>
      </c>
      <c r="T1" t="s">
        <v>103</v>
      </c>
    </row>
    <row r="2" spans="1:20">
      <c r="A2">
        <v>20000</v>
      </c>
      <c r="B2" t="s">
        <v>7</v>
      </c>
      <c r="C2">
        <v>155.68631999999999</v>
      </c>
      <c r="D2">
        <v>49</v>
      </c>
      <c r="E2">
        <v>451</v>
      </c>
      <c r="F2">
        <f>D2+E2</f>
        <v>500</v>
      </c>
      <c r="G2">
        <f>F2*C2</f>
        <v>77843.16</v>
      </c>
      <c r="H2" s="1">
        <f>3.67*G2</f>
        <v>285684.39720000001</v>
      </c>
      <c r="I2" s="1">
        <f>C2*(D2*$D$87+E2*0.05)</f>
        <v>188269.07182706232</v>
      </c>
      <c r="J2">
        <v>47</v>
      </c>
      <c r="K2">
        <f>IF(J2&gt;55,1,0)</f>
        <v>0</v>
      </c>
      <c r="L2">
        <v>21.671020810000002</v>
      </c>
      <c r="M2" s="1">
        <f>L2*2500000</f>
        <v>54177552.025000006</v>
      </c>
      <c r="N2" s="1">
        <f>M2/55</f>
        <v>985046.40045454551</v>
      </c>
      <c r="O2" s="1">
        <f>M2/H2</f>
        <v>189.64127042287069</v>
      </c>
      <c r="P2" t="b">
        <v>1</v>
      </c>
      <c r="Q2">
        <f>IF(O2&lt;55,1,0)</f>
        <v>0</v>
      </c>
      <c r="R2" s="1">
        <f>($A$2*E2+$A$4*D2)/$A$6</f>
        <v>941000</v>
      </c>
      <c r="S2">
        <f>IF(R2&lt;I2,1,0)</f>
        <v>0</v>
      </c>
      <c r="T2">
        <f>IF(R2&lt;N2,1,0)</f>
        <v>1</v>
      </c>
    </row>
    <row r="3" spans="1:20">
      <c r="A3" t="s">
        <v>105</v>
      </c>
      <c r="B3" t="s">
        <v>8</v>
      </c>
      <c r="C3">
        <v>156.80318399999999</v>
      </c>
      <c r="D3">
        <v>14</v>
      </c>
      <c r="E3">
        <v>176</v>
      </c>
      <c r="F3">
        <f t="shared" ref="F3:F66" si="0">D3+E3</f>
        <v>190</v>
      </c>
      <c r="G3">
        <f t="shared" ref="G3:G66" si="1">F3*C3</f>
        <v>29792.604959999997</v>
      </c>
      <c r="H3" s="1">
        <f t="shared" ref="H3:H66" si="2">3.67*G3</f>
        <v>109338.86020319999</v>
      </c>
      <c r="I3" s="1">
        <f t="shared" ref="I3:I66" si="3">C3*(D3*$D$87+E3*0.05)</f>
        <v>54546.658442672837</v>
      </c>
      <c r="J3">
        <v>53</v>
      </c>
      <c r="K3">
        <f t="shared" ref="K3:K66" si="4">IF(J3&gt;55,1,0)</f>
        <v>0</v>
      </c>
      <c r="L3">
        <v>3.6002532729999999</v>
      </c>
      <c r="M3" s="1">
        <f t="shared" ref="M3:M66" si="5">L3*2500000</f>
        <v>9000633.1824999992</v>
      </c>
      <c r="N3" s="1">
        <f t="shared" ref="N3:N66" si="6">M3/55</f>
        <v>163647.87604545453</v>
      </c>
      <c r="O3" s="1">
        <f>M3/H3</f>
        <v>82.318703211034389</v>
      </c>
      <c r="P3" t="b">
        <v>1</v>
      </c>
      <c r="Q3">
        <f t="shared" ref="Q3:Q66" si="7">IF(O3&lt;55,1,0)</f>
        <v>0</v>
      </c>
      <c r="R3" s="1">
        <f t="shared" ref="R3:R66" si="8">($A$2*E3+$A$4*D3)/$A$6</f>
        <v>316000</v>
      </c>
      <c r="S3">
        <f t="shared" ref="S3:S66" si="9">IF(R3&lt;I3,1,0)</f>
        <v>0</v>
      </c>
      <c r="T3">
        <f t="shared" ref="T3:T66" si="10">IF(R3&lt;N3,1,0)</f>
        <v>0</v>
      </c>
    </row>
    <row r="4" spans="1:20">
      <c r="A4">
        <v>200000</v>
      </c>
      <c r="B4" t="s">
        <v>9</v>
      </c>
      <c r="C4">
        <v>157.127184</v>
      </c>
      <c r="D4">
        <v>15</v>
      </c>
      <c r="E4">
        <v>62</v>
      </c>
      <c r="F4">
        <f t="shared" si="0"/>
        <v>77</v>
      </c>
      <c r="G4">
        <f t="shared" si="1"/>
        <v>12098.793168</v>
      </c>
      <c r="H4" s="1">
        <f t="shared" si="2"/>
        <v>44402.570926560002</v>
      </c>
      <c r="I4" s="1">
        <f t="shared" si="3"/>
        <v>57569.217279994358</v>
      </c>
      <c r="J4">
        <v>42</v>
      </c>
      <c r="K4">
        <f t="shared" si="4"/>
        <v>0</v>
      </c>
      <c r="L4">
        <v>8.4743113179999998</v>
      </c>
      <c r="M4" s="1">
        <f t="shared" si="5"/>
        <v>21185778.294999998</v>
      </c>
      <c r="N4" s="1">
        <f t="shared" si="6"/>
        <v>385195.96899999998</v>
      </c>
      <c r="O4" s="1">
        <f>M4/H4</f>
        <v>477.12954121598926</v>
      </c>
      <c r="P4" t="b">
        <v>1</v>
      </c>
      <c r="Q4">
        <f t="shared" si="7"/>
        <v>0</v>
      </c>
      <c r="R4" s="1">
        <f t="shared" si="8"/>
        <v>212000</v>
      </c>
      <c r="S4">
        <f t="shared" si="9"/>
        <v>0</v>
      </c>
      <c r="T4">
        <f t="shared" si="10"/>
        <v>1</v>
      </c>
    </row>
    <row r="5" spans="1:20">
      <c r="A5" t="s">
        <v>106</v>
      </c>
      <c r="B5" t="s">
        <v>10</v>
      </c>
      <c r="C5">
        <v>157.38753600000001</v>
      </c>
      <c r="D5">
        <v>4</v>
      </c>
      <c r="E5">
        <v>30</v>
      </c>
      <c r="F5">
        <f t="shared" si="0"/>
        <v>34</v>
      </c>
      <c r="G5">
        <f t="shared" si="1"/>
        <v>5351.1762240000007</v>
      </c>
      <c r="H5" s="1">
        <f t="shared" si="2"/>
        <v>19638.816742080002</v>
      </c>
      <c r="I5" s="1">
        <f t="shared" si="3"/>
        <v>15483.202710446491</v>
      </c>
      <c r="J5">
        <v>47</v>
      </c>
      <c r="K5">
        <f t="shared" si="4"/>
        <v>0</v>
      </c>
      <c r="L5">
        <v>3.5401876809999999</v>
      </c>
      <c r="M5" s="1">
        <f t="shared" si="5"/>
        <v>8850469.2025000006</v>
      </c>
      <c r="N5" s="1">
        <f t="shared" si="6"/>
        <v>160917.62186363636</v>
      </c>
      <c r="O5" s="1">
        <f>M5/H5</f>
        <v>450.66203930383142</v>
      </c>
      <c r="P5" t="b">
        <v>1</v>
      </c>
      <c r="Q5">
        <f t="shared" si="7"/>
        <v>0</v>
      </c>
      <c r="R5" s="1">
        <f t="shared" si="8"/>
        <v>70000</v>
      </c>
      <c r="S5">
        <f t="shared" si="9"/>
        <v>0</v>
      </c>
      <c r="T5">
        <f t="shared" si="10"/>
        <v>1</v>
      </c>
    </row>
    <row r="6" spans="1:20">
      <c r="A6">
        <v>20</v>
      </c>
      <c r="B6" t="s">
        <v>11</v>
      </c>
      <c r="C6">
        <v>157.44067200000001</v>
      </c>
      <c r="D6">
        <v>0</v>
      </c>
      <c r="E6">
        <v>8</v>
      </c>
      <c r="F6">
        <f t="shared" si="0"/>
        <v>8</v>
      </c>
      <c r="G6">
        <f t="shared" si="1"/>
        <v>1259.5253760000001</v>
      </c>
      <c r="H6" s="1">
        <f t="shared" si="2"/>
        <v>4622.4581299199999</v>
      </c>
      <c r="I6" s="1">
        <f t="shared" si="3"/>
        <v>62.976268800000007</v>
      </c>
      <c r="J6">
        <v>47</v>
      </c>
      <c r="K6">
        <f t="shared" si="4"/>
        <v>0</v>
      </c>
      <c r="L6">
        <v>0.82918131900000003</v>
      </c>
      <c r="M6" s="1">
        <f t="shared" si="5"/>
        <v>2072953.2975000001</v>
      </c>
      <c r="N6" s="1">
        <f t="shared" si="6"/>
        <v>37690.059954545453</v>
      </c>
      <c r="O6" s="1">
        <f>M6/H6</f>
        <v>448.45258501797969</v>
      </c>
      <c r="P6" t="b">
        <v>1</v>
      </c>
      <c r="Q6">
        <f t="shared" si="7"/>
        <v>0</v>
      </c>
      <c r="R6" s="1">
        <f t="shared" si="8"/>
        <v>8000</v>
      </c>
      <c r="S6">
        <f t="shared" si="9"/>
        <v>0</v>
      </c>
      <c r="T6">
        <f t="shared" si="10"/>
        <v>1</v>
      </c>
    </row>
    <row r="7" spans="1:20">
      <c r="B7" t="s">
        <v>12</v>
      </c>
      <c r="C7">
        <v>148.25332800000001</v>
      </c>
      <c r="D7">
        <v>9</v>
      </c>
      <c r="E7">
        <v>44</v>
      </c>
      <c r="F7">
        <f t="shared" si="0"/>
        <v>53</v>
      </c>
      <c r="G7">
        <f t="shared" si="1"/>
        <v>7857.4263840000003</v>
      </c>
      <c r="H7" s="1">
        <f t="shared" si="2"/>
        <v>28836.754829280002</v>
      </c>
      <c r="I7" s="1">
        <f t="shared" si="3"/>
        <v>32641.181966136643</v>
      </c>
      <c r="J7">
        <v>47</v>
      </c>
      <c r="K7">
        <f t="shared" si="4"/>
        <v>0</v>
      </c>
      <c r="L7">
        <v>5.5294864090000004</v>
      </c>
      <c r="M7" s="1">
        <f t="shared" si="5"/>
        <v>13823716.022500001</v>
      </c>
      <c r="N7" s="1">
        <f t="shared" si="6"/>
        <v>251340.29131818184</v>
      </c>
      <c r="O7" s="1">
        <f>M7/H7</f>
        <v>479.37835253444683</v>
      </c>
      <c r="P7" t="b">
        <v>0</v>
      </c>
      <c r="Q7">
        <f t="shared" si="7"/>
        <v>0</v>
      </c>
      <c r="R7" s="1">
        <f t="shared" si="8"/>
        <v>134000</v>
      </c>
      <c r="S7">
        <f t="shared" si="9"/>
        <v>0</v>
      </c>
      <c r="T7">
        <f t="shared" si="10"/>
        <v>1</v>
      </c>
    </row>
    <row r="8" spans="1:20">
      <c r="B8" t="s">
        <v>13</v>
      </c>
      <c r="C8">
        <v>340.195536</v>
      </c>
      <c r="D8">
        <v>8</v>
      </c>
      <c r="E8">
        <v>105</v>
      </c>
      <c r="F8">
        <f t="shared" si="0"/>
        <v>113</v>
      </c>
      <c r="G8">
        <f t="shared" si="1"/>
        <v>38442.095567999997</v>
      </c>
      <c r="H8" s="1">
        <f t="shared" si="2"/>
        <v>141082.49073455998</v>
      </c>
      <c r="I8" s="1">
        <f t="shared" si="3"/>
        <v>67699.792941575637</v>
      </c>
      <c r="J8">
        <v>68</v>
      </c>
      <c r="K8">
        <f t="shared" si="4"/>
        <v>1</v>
      </c>
      <c r="L8">
        <v>6.9961454549999997</v>
      </c>
      <c r="M8" s="1">
        <f t="shared" si="5"/>
        <v>17490363.637499999</v>
      </c>
      <c r="N8" s="1">
        <f t="shared" si="6"/>
        <v>318006.61159090907</v>
      </c>
      <c r="O8" s="1">
        <f>M8/H8</f>
        <v>123.9726031659541</v>
      </c>
      <c r="P8" t="b">
        <v>1</v>
      </c>
      <c r="Q8">
        <f t="shared" si="7"/>
        <v>0</v>
      </c>
      <c r="R8" s="1">
        <f t="shared" si="8"/>
        <v>185000</v>
      </c>
      <c r="S8">
        <f t="shared" si="9"/>
        <v>0</v>
      </c>
      <c r="T8">
        <f t="shared" si="10"/>
        <v>1</v>
      </c>
    </row>
    <row r="9" spans="1:20">
      <c r="B9" t="s">
        <v>14</v>
      </c>
      <c r="C9">
        <v>341.60918400000003</v>
      </c>
      <c r="D9">
        <v>3</v>
      </c>
      <c r="E9">
        <v>57</v>
      </c>
      <c r="F9">
        <f t="shared" si="0"/>
        <v>60</v>
      </c>
      <c r="G9">
        <f t="shared" si="1"/>
        <v>20496.551040000002</v>
      </c>
      <c r="H9" s="1">
        <f t="shared" si="2"/>
        <v>75222.342316800001</v>
      </c>
      <c r="I9" s="1">
        <f t="shared" si="3"/>
        <v>25793.960301763163</v>
      </c>
      <c r="J9">
        <v>55</v>
      </c>
      <c r="K9">
        <f t="shared" si="4"/>
        <v>0</v>
      </c>
      <c r="L9">
        <v>4.2257639090000003</v>
      </c>
      <c r="M9" s="1">
        <f t="shared" si="5"/>
        <v>10564409.772500001</v>
      </c>
      <c r="N9" s="1">
        <f t="shared" si="6"/>
        <v>192080.1776818182</v>
      </c>
      <c r="O9" s="1">
        <f>M9/H9</f>
        <v>140.4424463147908</v>
      </c>
      <c r="P9" t="b">
        <v>1</v>
      </c>
      <c r="Q9">
        <f t="shared" si="7"/>
        <v>0</v>
      </c>
      <c r="R9" s="1">
        <f t="shared" si="8"/>
        <v>87000</v>
      </c>
      <c r="S9">
        <f t="shared" si="9"/>
        <v>0</v>
      </c>
      <c r="T9">
        <f t="shared" si="10"/>
        <v>1</v>
      </c>
    </row>
    <row r="10" spans="1:20">
      <c r="B10" t="s">
        <v>15</v>
      </c>
      <c r="C10">
        <v>337.96728000000002</v>
      </c>
      <c r="D10">
        <v>35</v>
      </c>
      <c r="E10">
        <v>105</v>
      </c>
      <c r="F10">
        <f t="shared" si="0"/>
        <v>140</v>
      </c>
      <c r="G10">
        <f t="shared" si="1"/>
        <v>47315.419200000004</v>
      </c>
      <c r="H10" s="1">
        <f t="shared" si="2"/>
        <v>173647.588464</v>
      </c>
      <c r="I10" s="1">
        <f t="shared" si="3"/>
        <v>288258.2357430635</v>
      </c>
      <c r="J10">
        <v>52</v>
      </c>
      <c r="K10">
        <f t="shared" si="4"/>
        <v>0</v>
      </c>
      <c r="L10">
        <v>19.097866140000001</v>
      </c>
      <c r="M10" s="1">
        <f t="shared" si="5"/>
        <v>47744665.350000001</v>
      </c>
      <c r="N10" s="1">
        <f t="shared" si="6"/>
        <v>868084.82454545458</v>
      </c>
      <c r="O10" s="1">
        <f>M10/H10</f>
        <v>274.95150247881651</v>
      </c>
      <c r="P10" t="b">
        <v>1</v>
      </c>
      <c r="Q10">
        <f t="shared" si="7"/>
        <v>0</v>
      </c>
      <c r="R10" s="1">
        <f t="shared" si="8"/>
        <v>455000</v>
      </c>
      <c r="S10">
        <f t="shared" si="9"/>
        <v>0</v>
      </c>
      <c r="T10">
        <f t="shared" si="10"/>
        <v>1</v>
      </c>
    </row>
    <row r="11" spans="1:20">
      <c r="B11" t="s">
        <v>16</v>
      </c>
      <c r="C11">
        <v>331.42320000000001</v>
      </c>
      <c r="D11">
        <v>39</v>
      </c>
      <c r="E11">
        <v>254</v>
      </c>
      <c r="F11">
        <f t="shared" si="0"/>
        <v>293</v>
      </c>
      <c r="G11">
        <f t="shared" si="1"/>
        <v>97106.997600000002</v>
      </c>
      <c r="H11" s="1">
        <f t="shared" si="2"/>
        <v>356382.68119199999</v>
      </c>
      <c r="I11" s="1">
        <f t="shared" si="3"/>
        <v>317252.82945996057</v>
      </c>
      <c r="J11">
        <v>55</v>
      </c>
      <c r="K11">
        <f t="shared" si="4"/>
        <v>0</v>
      </c>
      <c r="L11">
        <v>20.341062770000001</v>
      </c>
      <c r="M11" s="1">
        <f t="shared" si="5"/>
        <v>50852656.925000004</v>
      </c>
      <c r="N11" s="1">
        <f t="shared" si="6"/>
        <v>924593.76227272733</v>
      </c>
      <c r="O11" s="1">
        <f>M11/H11</f>
        <v>142.6911564695348</v>
      </c>
      <c r="P11" t="b">
        <v>1</v>
      </c>
      <c r="Q11">
        <f t="shared" si="7"/>
        <v>0</v>
      </c>
      <c r="R11" s="1">
        <f t="shared" si="8"/>
        <v>644000</v>
      </c>
      <c r="S11">
        <f t="shared" si="9"/>
        <v>0</v>
      </c>
      <c r="T11">
        <f t="shared" si="10"/>
        <v>1</v>
      </c>
    </row>
    <row r="12" spans="1:20">
      <c r="B12" t="s">
        <v>17</v>
      </c>
      <c r="C12">
        <v>336.210624</v>
      </c>
      <c r="D12">
        <v>48</v>
      </c>
      <c r="E12">
        <v>95</v>
      </c>
      <c r="F12">
        <f t="shared" si="0"/>
        <v>143</v>
      </c>
      <c r="G12">
        <f t="shared" si="1"/>
        <v>48078.119231999997</v>
      </c>
      <c r="H12" s="1">
        <f t="shared" si="2"/>
        <v>176446.69758143998</v>
      </c>
      <c r="I12" s="1">
        <f t="shared" si="3"/>
        <v>392447.07659189351</v>
      </c>
      <c r="J12">
        <v>66</v>
      </c>
      <c r="K12">
        <f t="shared" si="4"/>
        <v>1</v>
      </c>
      <c r="L12">
        <v>23.794489039999998</v>
      </c>
      <c r="M12" s="1">
        <f t="shared" si="5"/>
        <v>59486222.599999994</v>
      </c>
      <c r="N12" s="1">
        <f t="shared" si="6"/>
        <v>1081567.6836363636</v>
      </c>
      <c r="O12" s="1">
        <f>M12/H12</f>
        <v>337.13423609157542</v>
      </c>
      <c r="P12" t="b">
        <v>1</v>
      </c>
      <c r="Q12">
        <f t="shared" si="7"/>
        <v>0</v>
      </c>
      <c r="R12" s="1">
        <f t="shared" si="8"/>
        <v>575000</v>
      </c>
      <c r="S12">
        <f t="shared" si="9"/>
        <v>0</v>
      </c>
      <c r="T12">
        <f t="shared" si="10"/>
        <v>1</v>
      </c>
    </row>
    <row r="13" spans="1:20">
      <c r="B13" t="s">
        <v>18</v>
      </c>
      <c r="C13">
        <v>267.408432</v>
      </c>
      <c r="D13">
        <v>4</v>
      </c>
      <c r="E13">
        <v>13</v>
      </c>
      <c r="F13">
        <f t="shared" si="0"/>
        <v>17</v>
      </c>
      <c r="G13">
        <f t="shared" si="1"/>
        <v>4545.9433440000003</v>
      </c>
      <c r="H13" s="1">
        <f t="shared" si="2"/>
        <v>16683.612072480002</v>
      </c>
      <c r="I13" s="1">
        <f t="shared" si="3"/>
        <v>26079.353691980145</v>
      </c>
      <c r="J13">
        <v>59</v>
      </c>
      <c r="K13">
        <f t="shared" si="4"/>
        <v>1</v>
      </c>
      <c r="L13">
        <v>9.2247859999999999</v>
      </c>
      <c r="M13" s="1">
        <f t="shared" si="5"/>
        <v>23061965</v>
      </c>
      <c r="N13" s="1">
        <f t="shared" si="6"/>
        <v>419308.45454545453</v>
      </c>
      <c r="O13" s="1">
        <f>M13/H13</f>
        <v>1382.3124692548586</v>
      </c>
      <c r="P13" t="b">
        <v>0</v>
      </c>
      <c r="Q13">
        <f t="shared" si="7"/>
        <v>0</v>
      </c>
      <c r="R13" s="1">
        <f t="shared" si="8"/>
        <v>53000</v>
      </c>
      <c r="S13">
        <f t="shared" si="9"/>
        <v>0</v>
      </c>
      <c r="T13">
        <f t="shared" si="10"/>
        <v>1</v>
      </c>
    </row>
    <row r="14" spans="1:20">
      <c r="B14" t="s">
        <v>19</v>
      </c>
      <c r="C14">
        <v>278.00927999999999</v>
      </c>
      <c r="D14">
        <v>23</v>
      </c>
      <c r="E14">
        <v>89</v>
      </c>
      <c r="F14">
        <f t="shared" si="0"/>
        <v>112</v>
      </c>
      <c r="G14">
        <f t="shared" si="1"/>
        <v>31137.039359999999</v>
      </c>
      <c r="H14" s="1">
        <f t="shared" si="2"/>
        <v>114272.9344512</v>
      </c>
      <c r="I14" s="1">
        <f t="shared" si="3"/>
        <v>156099.06857468211</v>
      </c>
      <c r="J14">
        <v>43</v>
      </c>
      <c r="K14">
        <f t="shared" si="4"/>
        <v>0</v>
      </c>
      <c r="L14">
        <v>11.88194045</v>
      </c>
      <c r="M14" s="1">
        <f t="shared" si="5"/>
        <v>29704851.125</v>
      </c>
      <c r="N14" s="1">
        <f t="shared" si="6"/>
        <v>540088.20227272727</v>
      </c>
      <c r="O14" s="1">
        <f>M14/H14</f>
        <v>259.94651548644174</v>
      </c>
      <c r="P14" t="b">
        <v>0</v>
      </c>
      <c r="Q14">
        <f t="shared" si="7"/>
        <v>0</v>
      </c>
      <c r="R14" s="1">
        <f t="shared" si="8"/>
        <v>319000</v>
      </c>
      <c r="S14">
        <f t="shared" si="9"/>
        <v>0</v>
      </c>
      <c r="T14">
        <f t="shared" si="10"/>
        <v>1</v>
      </c>
    </row>
    <row r="15" spans="1:20">
      <c r="B15" t="s">
        <v>20</v>
      </c>
      <c r="C15">
        <v>457.34385600000002</v>
      </c>
      <c r="D15">
        <v>20</v>
      </c>
      <c r="E15">
        <v>119</v>
      </c>
      <c r="F15">
        <f t="shared" si="0"/>
        <v>139</v>
      </c>
      <c r="G15">
        <f t="shared" si="1"/>
        <v>63570.795984000004</v>
      </c>
      <c r="H15" s="1">
        <f t="shared" si="2"/>
        <v>233304.82126128001</v>
      </c>
      <c r="I15" s="1">
        <f t="shared" si="3"/>
        <v>224250.08806984147</v>
      </c>
      <c r="J15">
        <v>44</v>
      </c>
      <c r="K15">
        <f t="shared" si="4"/>
        <v>0</v>
      </c>
      <c r="L15">
        <v>22.065014269999999</v>
      </c>
      <c r="M15" s="1">
        <f t="shared" si="5"/>
        <v>55162535.674999997</v>
      </c>
      <c r="N15" s="1">
        <f t="shared" si="6"/>
        <v>1002955.1940909091</v>
      </c>
      <c r="O15" s="1">
        <f>M15/H15</f>
        <v>236.43975883902979</v>
      </c>
      <c r="P15" t="b">
        <v>0</v>
      </c>
      <c r="Q15">
        <f t="shared" si="7"/>
        <v>0</v>
      </c>
      <c r="R15" s="1">
        <f t="shared" si="8"/>
        <v>319000</v>
      </c>
      <c r="S15">
        <f t="shared" si="9"/>
        <v>0</v>
      </c>
      <c r="T15">
        <f t="shared" si="10"/>
        <v>1</v>
      </c>
    </row>
    <row r="16" spans="1:20">
      <c r="B16" t="s">
        <v>21</v>
      </c>
      <c r="C16">
        <v>231.96168</v>
      </c>
      <c r="D16">
        <v>18</v>
      </c>
      <c r="E16">
        <v>54</v>
      </c>
      <c r="F16">
        <f t="shared" si="0"/>
        <v>72</v>
      </c>
      <c r="G16">
        <f t="shared" si="1"/>
        <v>16701.240959999999</v>
      </c>
      <c r="H16" s="1">
        <f t="shared" si="2"/>
        <v>61293.554323199998</v>
      </c>
      <c r="I16" s="1">
        <f t="shared" si="3"/>
        <v>101748.44343024203</v>
      </c>
      <c r="J16">
        <v>50</v>
      </c>
      <c r="K16">
        <f t="shared" si="4"/>
        <v>0</v>
      </c>
      <c r="L16">
        <v>12.159945179999999</v>
      </c>
      <c r="M16" s="1">
        <f t="shared" si="5"/>
        <v>30399862.949999999</v>
      </c>
      <c r="N16" s="1">
        <f t="shared" si="6"/>
        <v>552724.78090909088</v>
      </c>
      <c r="O16" s="1">
        <f>M16/H16</f>
        <v>495.97161211604691</v>
      </c>
      <c r="P16" t="b">
        <v>0</v>
      </c>
      <c r="Q16">
        <f t="shared" si="7"/>
        <v>0</v>
      </c>
      <c r="R16" s="1">
        <f t="shared" si="8"/>
        <v>234000</v>
      </c>
      <c r="S16">
        <f t="shared" si="9"/>
        <v>0</v>
      </c>
      <c r="T16">
        <f t="shared" si="10"/>
        <v>1</v>
      </c>
    </row>
    <row r="17" spans="2:20">
      <c r="B17" t="s">
        <v>22</v>
      </c>
      <c r="C17">
        <v>161.81855999999999</v>
      </c>
      <c r="D17">
        <v>16</v>
      </c>
      <c r="E17">
        <v>32</v>
      </c>
      <c r="F17">
        <f t="shared" si="0"/>
        <v>48</v>
      </c>
      <c r="G17">
        <f t="shared" si="1"/>
        <v>7767.2908799999996</v>
      </c>
      <c r="H17" s="1">
        <f t="shared" si="2"/>
        <v>28505.957529599997</v>
      </c>
      <c r="I17" s="1">
        <f t="shared" si="3"/>
        <v>62964.440078948384</v>
      </c>
      <c r="J17">
        <v>45</v>
      </c>
      <c r="K17">
        <f t="shared" si="4"/>
        <v>0</v>
      </c>
      <c r="L17">
        <v>11.75697641</v>
      </c>
      <c r="M17" s="1">
        <f t="shared" si="5"/>
        <v>29392441.024999999</v>
      </c>
      <c r="N17" s="1">
        <f t="shared" si="6"/>
        <v>534408.01863636356</v>
      </c>
      <c r="O17" s="1">
        <f>M17/H17</f>
        <v>1031.0981834053284</v>
      </c>
      <c r="P17" t="b">
        <v>0</v>
      </c>
      <c r="Q17">
        <f t="shared" si="7"/>
        <v>0</v>
      </c>
      <c r="R17" s="1">
        <f t="shared" si="8"/>
        <v>192000</v>
      </c>
      <c r="S17">
        <f t="shared" si="9"/>
        <v>0</v>
      </c>
      <c r="T17">
        <f t="shared" si="10"/>
        <v>1</v>
      </c>
    </row>
    <row r="18" spans="2:20">
      <c r="B18" t="s">
        <v>23</v>
      </c>
      <c r="C18">
        <v>284.80824000000001</v>
      </c>
      <c r="D18">
        <v>46</v>
      </c>
      <c r="E18">
        <v>177</v>
      </c>
      <c r="F18">
        <f t="shared" si="0"/>
        <v>223</v>
      </c>
      <c r="G18">
        <f t="shared" si="1"/>
        <v>63512.237520000002</v>
      </c>
      <c r="H18" s="1">
        <f t="shared" si="2"/>
        <v>233089.91169840001</v>
      </c>
      <c r="I18" s="1">
        <f t="shared" si="3"/>
        <v>319818.97512954246</v>
      </c>
      <c r="J18">
        <v>73</v>
      </c>
      <c r="K18">
        <f t="shared" si="4"/>
        <v>1</v>
      </c>
      <c r="L18">
        <v>24.209424909999999</v>
      </c>
      <c r="M18" s="1">
        <f t="shared" si="5"/>
        <v>60523562.274999999</v>
      </c>
      <c r="N18" s="1">
        <f t="shared" si="6"/>
        <v>1100428.405</v>
      </c>
      <c r="O18" s="1">
        <f>M18/H18</f>
        <v>259.65757948938057</v>
      </c>
      <c r="P18" t="b">
        <v>1</v>
      </c>
      <c r="Q18">
        <f t="shared" si="7"/>
        <v>0</v>
      </c>
      <c r="R18" s="1">
        <f t="shared" si="8"/>
        <v>637000</v>
      </c>
      <c r="S18">
        <f t="shared" si="9"/>
        <v>0</v>
      </c>
      <c r="T18">
        <f t="shared" si="10"/>
        <v>1</v>
      </c>
    </row>
    <row r="19" spans="2:20">
      <c r="B19" t="s">
        <v>24</v>
      </c>
      <c r="C19">
        <v>77.006591999999998</v>
      </c>
      <c r="D19">
        <v>43</v>
      </c>
      <c r="E19">
        <v>47</v>
      </c>
      <c r="F19">
        <f t="shared" si="0"/>
        <v>90</v>
      </c>
      <c r="G19">
        <f t="shared" si="1"/>
        <v>6930.59328</v>
      </c>
      <c r="H19" s="1">
        <f t="shared" si="2"/>
        <v>25435.2773376</v>
      </c>
      <c r="I19" s="1">
        <f t="shared" si="3"/>
        <v>80377.183927438979</v>
      </c>
      <c r="J19">
        <v>54</v>
      </c>
      <c r="K19">
        <f t="shared" si="4"/>
        <v>0</v>
      </c>
      <c r="L19">
        <v>14.194350630000001</v>
      </c>
      <c r="M19" s="1">
        <f t="shared" si="5"/>
        <v>35485876.575000003</v>
      </c>
      <c r="N19" s="1">
        <f t="shared" si="6"/>
        <v>645197.75590909098</v>
      </c>
      <c r="O19" s="1">
        <f>M19/H19</f>
        <v>1395.1440789891678</v>
      </c>
      <c r="P19" t="b">
        <v>1</v>
      </c>
      <c r="Q19">
        <f t="shared" si="7"/>
        <v>0</v>
      </c>
      <c r="R19" s="1">
        <f t="shared" si="8"/>
        <v>477000</v>
      </c>
      <c r="S19">
        <f t="shared" si="9"/>
        <v>0</v>
      </c>
      <c r="T19">
        <f t="shared" si="10"/>
        <v>1</v>
      </c>
    </row>
    <row r="20" spans="2:20">
      <c r="B20" t="s">
        <v>25</v>
      </c>
      <c r="C20">
        <v>258.000336</v>
      </c>
      <c r="D20">
        <v>18</v>
      </c>
      <c r="E20">
        <v>183</v>
      </c>
      <c r="F20">
        <f t="shared" si="0"/>
        <v>201</v>
      </c>
      <c r="G20">
        <f t="shared" si="1"/>
        <v>51858.067536000002</v>
      </c>
      <c r="H20" s="1">
        <f t="shared" si="2"/>
        <v>190319.10785711999</v>
      </c>
      <c r="I20" s="1">
        <f t="shared" si="3"/>
        <v>114834.2283383824</v>
      </c>
      <c r="J20">
        <v>54</v>
      </c>
      <c r="K20">
        <f t="shared" si="4"/>
        <v>0</v>
      </c>
      <c r="L20">
        <v>10.279500949999999</v>
      </c>
      <c r="M20" s="1">
        <f t="shared" si="5"/>
        <v>25698752.374999996</v>
      </c>
      <c r="N20" s="1">
        <f t="shared" si="6"/>
        <v>467250.0431818181</v>
      </c>
      <c r="O20" s="1">
        <f>M20/H20</f>
        <v>135.02980685624618</v>
      </c>
      <c r="P20" t="b">
        <v>1</v>
      </c>
      <c r="Q20">
        <f t="shared" si="7"/>
        <v>0</v>
      </c>
      <c r="R20" s="1">
        <f t="shared" si="8"/>
        <v>363000</v>
      </c>
      <c r="S20">
        <f t="shared" si="9"/>
        <v>0</v>
      </c>
      <c r="T20">
        <f t="shared" si="10"/>
        <v>1</v>
      </c>
    </row>
    <row r="21" spans="2:20">
      <c r="B21" t="s">
        <v>26</v>
      </c>
      <c r="C21">
        <v>257.50051200000001</v>
      </c>
      <c r="D21">
        <v>10</v>
      </c>
      <c r="E21">
        <v>164</v>
      </c>
      <c r="F21">
        <f t="shared" si="0"/>
        <v>174</v>
      </c>
      <c r="G21">
        <f t="shared" si="1"/>
        <v>44805.089088000001</v>
      </c>
      <c r="H21" s="1">
        <f t="shared" si="2"/>
        <v>164434.67695296</v>
      </c>
      <c r="I21" s="1">
        <f t="shared" si="3"/>
        <v>64475.743268229053</v>
      </c>
      <c r="J21">
        <v>58</v>
      </c>
      <c r="K21">
        <f t="shared" si="4"/>
        <v>1</v>
      </c>
      <c r="L21">
        <v>9.5237331360000006</v>
      </c>
      <c r="M21" s="1">
        <f t="shared" si="5"/>
        <v>23809332.84</v>
      </c>
      <c r="N21" s="1">
        <f t="shared" si="6"/>
        <v>432896.96072727273</v>
      </c>
      <c r="O21" s="1">
        <f>M21/H21</f>
        <v>144.7950838667148</v>
      </c>
      <c r="P21" t="b">
        <v>1</v>
      </c>
      <c r="Q21">
        <f t="shared" si="7"/>
        <v>0</v>
      </c>
      <c r="R21" s="1">
        <f t="shared" si="8"/>
        <v>264000</v>
      </c>
      <c r="S21">
        <f t="shared" si="9"/>
        <v>0</v>
      </c>
      <c r="T21">
        <f t="shared" si="10"/>
        <v>1</v>
      </c>
    </row>
    <row r="22" spans="2:20">
      <c r="B22" t="s">
        <v>27</v>
      </c>
      <c r="C22">
        <v>158.49345600000001</v>
      </c>
      <c r="D22">
        <v>15</v>
      </c>
      <c r="E22">
        <v>65</v>
      </c>
      <c r="F22">
        <f t="shared" si="0"/>
        <v>80</v>
      </c>
      <c r="G22">
        <f t="shared" si="1"/>
        <v>12679.476480000001</v>
      </c>
      <c r="H22" s="1">
        <f t="shared" si="2"/>
        <v>46533.678681600002</v>
      </c>
      <c r="I22" s="1">
        <f t="shared" si="3"/>
        <v>58093.574377841469</v>
      </c>
      <c r="J22">
        <v>64</v>
      </c>
      <c r="K22">
        <f t="shared" si="4"/>
        <v>1</v>
      </c>
      <c r="L22">
        <v>7.8140500919999996</v>
      </c>
      <c r="M22" s="1">
        <f t="shared" si="5"/>
        <v>19535125.23</v>
      </c>
      <c r="N22" s="1">
        <f t="shared" si="6"/>
        <v>355184.0950909091</v>
      </c>
      <c r="O22" s="1">
        <f>M22/H22</f>
        <v>419.80616584530708</v>
      </c>
      <c r="P22" t="b">
        <v>1</v>
      </c>
      <c r="Q22">
        <f t="shared" si="7"/>
        <v>0</v>
      </c>
      <c r="R22" s="1">
        <f t="shared" si="8"/>
        <v>215000</v>
      </c>
      <c r="S22">
        <f t="shared" si="9"/>
        <v>0</v>
      </c>
      <c r="T22">
        <f t="shared" si="10"/>
        <v>1</v>
      </c>
    </row>
    <row r="23" spans="2:20">
      <c r="B23" t="s">
        <v>28</v>
      </c>
      <c r="C23">
        <v>321.36912000000001</v>
      </c>
      <c r="D23">
        <v>60</v>
      </c>
      <c r="E23">
        <v>27</v>
      </c>
      <c r="F23">
        <f t="shared" si="0"/>
        <v>87</v>
      </c>
      <c r="G23">
        <f t="shared" si="1"/>
        <v>27959.113440000001</v>
      </c>
      <c r="H23" s="1">
        <f t="shared" si="2"/>
        <v>102609.9463248</v>
      </c>
      <c r="I23" s="1">
        <f t="shared" si="3"/>
        <v>467429.59461965581</v>
      </c>
      <c r="J23">
        <v>71</v>
      </c>
      <c r="K23">
        <f t="shared" si="4"/>
        <v>1</v>
      </c>
      <c r="L23">
        <v>22.25809868</v>
      </c>
      <c r="M23" s="1">
        <f t="shared" si="5"/>
        <v>55645246.700000003</v>
      </c>
      <c r="N23" s="1">
        <f t="shared" si="6"/>
        <v>1011731.7581818182</v>
      </c>
      <c r="O23" s="1">
        <f>M23/H23</f>
        <v>542.2987604326521</v>
      </c>
      <c r="P23" t="b">
        <v>0</v>
      </c>
      <c r="Q23">
        <f t="shared" si="7"/>
        <v>0</v>
      </c>
      <c r="R23" s="1">
        <f t="shared" si="8"/>
        <v>627000</v>
      </c>
      <c r="S23">
        <f t="shared" si="9"/>
        <v>0</v>
      </c>
      <c r="T23">
        <f t="shared" si="10"/>
        <v>1</v>
      </c>
    </row>
    <row r="24" spans="2:20">
      <c r="B24" t="s">
        <v>29</v>
      </c>
      <c r="C24">
        <v>512.11756800000001</v>
      </c>
      <c r="D24">
        <v>3</v>
      </c>
      <c r="E24">
        <v>13</v>
      </c>
      <c r="F24">
        <f t="shared" si="0"/>
        <v>16</v>
      </c>
      <c r="G24">
        <f t="shared" si="1"/>
        <v>8193.8810880000001</v>
      </c>
      <c r="H24" s="1">
        <f t="shared" si="2"/>
        <v>30071.543592959999</v>
      </c>
      <c r="I24" s="1">
        <f t="shared" si="3"/>
        <v>37541.915959996848</v>
      </c>
      <c r="J24">
        <v>75</v>
      </c>
      <c r="K24">
        <f t="shared" si="4"/>
        <v>1</v>
      </c>
      <c r="L24">
        <v>7.4276511359999997</v>
      </c>
      <c r="M24" s="1">
        <f t="shared" si="5"/>
        <v>18569127.84</v>
      </c>
      <c r="N24" s="1">
        <f t="shared" si="6"/>
        <v>337620.5061818182</v>
      </c>
      <c r="O24" s="1">
        <f>M24/H24</f>
        <v>617.49832636949134</v>
      </c>
      <c r="P24" t="b">
        <v>1</v>
      </c>
      <c r="Q24">
        <f t="shared" si="7"/>
        <v>0</v>
      </c>
      <c r="R24" s="1">
        <f t="shared" si="8"/>
        <v>43000</v>
      </c>
      <c r="S24">
        <f t="shared" si="9"/>
        <v>0</v>
      </c>
      <c r="T24">
        <f t="shared" si="10"/>
        <v>1</v>
      </c>
    </row>
    <row r="25" spans="2:20">
      <c r="B25" t="s">
        <v>30</v>
      </c>
      <c r="C25">
        <v>337.261392</v>
      </c>
      <c r="D25">
        <v>7</v>
      </c>
      <c r="E25">
        <v>37</v>
      </c>
      <c r="F25">
        <f t="shared" si="0"/>
        <v>44</v>
      </c>
      <c r="G25">
        <f t="shared" si="1"/>
        <v>14839.501248</v>
      </c>
      <c r="H25" s="1">
        <f t="shared" si="2"/>
        <v>54460.969580160003</v>
      </c>
      <c r="I25" s="1">
        <f t="shared" si="3"/>
        <v>57801.043404783304</v>
      </c>
      <c r="J25">
        <v>61</v>
      </c>
      <c r="K25">
        <f t="shared" si="4"/>
        <v>1</v>
      </c>
      <c r="L25">
        <v>2.7920143639999999</v>
      </c>
      <c r="M25" s="1">
        <f t="shared" si="5"/>
        <v>6980035.9100000001</v>
      </c>
      <c r="N25" s="1">
        <f t="shared" si="6"/>
        <v>126909.74381818181</v>
      </c>
      <c r="O25" s="1">
        <f>M25/H25</f>
        <v>128.16583993654805</v>
      </c>
      <c r="P25" t="b">
        <v>1</v>
      </c>
      <c r="Q25">
        <f t="shared" si="7"/>
        <v>0</v>
      </c>
      <c r="R25" s="1">
        <f t="shared" si="8"/>
        <v>107000</v>
      </c>
      <c r="S25">
        <f t="shared" si="9"/>
        <v>0</v>
      </c>
      <c r="T25">
        <f t="shared" si="10"/>
        <v>1</v>
      </c>
    </row>
    <row r="26" spans="2:20">
      <c r="B26" t="s">
        <v>31</v>
      </c>
      <c r="C26">
        <v>326.89368000000002</v>
      </c>
      <c r="D26">
        <v>27</v>
      </c>
      <c r="E26">
        <v>144</v>
      </c>
      <c r="F26">
        <f t="shared" si="0"/>
        <v>171</v>
      </c>
      <c r="G26">
        <f t="shared" si="1"/>
        <v>55898.819280000003</v>
      </c>
      <c r="H26" s="1">
        <f t="shared" si="2"/>
        <v>205148.6667576</v>
      </c>
      <c r="I26" s="1">
        <f t="shared" si="3"/>
        <v>216114.31294788496</v>
      </c>
      <c r="J26">
        <v>53</v>
      </c>
      <c r="K26">
        <f t="shared" si="4"/>
        <v>0</v>
      </c>
      <c r="L26">
        <v>13.35504332</v>
      </c>
      <c r="M26" s="1">
        <f t="shared" si="5"/>
        <v>33387608.300000001</v>
      </c>
      <c r="N26" s="1">
        <f t="shared" si="6"/>
        <v>607047.4236363637</v>
      </c>
      <c r="O26" s="1">
        <f>M26/H26</f>
        <v>162.74835624181853</v>
      </c>
      <c r="P26" t="b">
        <v>1</v>
      </c>
      <c r="Q26">
        <f t="shared" si="7"/>
        <v>0</v>
      </c>
      <c r="R26" s="1">
        <f t="shared" si="8"/>
        <v>414000</v>
      </c>
      <c r="S26">
        <f t="shared" si="9"/>
        <v>0</v>
      </c>
      <c r="T26">
        <f t="shared" si="10"/>
        <v>1</v>
      </c>
    </row>
    <row r="27" spans="2:20">
      <c r="B27" t="s">
        <v>32</v>
      </c>
      <c r="C27">
        <v>487.904112</v>
      </c>
      <c r="D27">
        <v>73</v>
      </c>
      <c r="E27">
        <v>198</v>
      </c>
      <c r="F27">
        <f t="shared" si="0"/>
        <v>271</v>
      </c>
      <c r="G27">
        <f t="shared" si="1"/>
        <v>132222.014352</v>
      </c>
      <c r="H27" s="1">
        <f t="shared" si="2"/>
        <v>485254.79267184</v>
      </c>
      <c r="I27" s="1">
        <f t="shared" si="3"/>
        <v>867441.00696477504</v>
      </c>
      <c r="J27">
        <v>64</v>
      </c>
      <c r="K27">
        <f t="shared" si="4"/>
        <v>1</v>
      </c>
      <c r="L27">
        <v>24.644152500000001</v>
      </c>
      <c r="M27" s="1">
        <f t="shared" si="5"/>
        <v>61610381.25</v>
      </c>
      <c r="N27" s="1">
        <f t="shared" si="6"/>
        <v>1120188.75</v>
      </c>
      <c r="O27" s="1">
        <f>M27/H27</f>
        <v>126.96501339176848</v>
      </c>
      <c r="P27" t="b">
        <v>1</v>
      </c>
      <c r="Q27">
        <f t="shared" si="7"/>
        <v>0</v>
      </c>
      <c r="R27" s="1">
        <f t="shared" si="8"/>
        <v>928000</v>
      </c>
      <c r="S27">
        <f t="shared" si="9"/>
        <v>0</v>
      </c>
      <c r="T27">
        <f t="shared" si="10"/>
        <v>1</v>
      </c>
    </row>
    <row r="28" spans="2:20">
      <c r="B28" t="s">
        <v>33</v>
      </c>
      <c r="C28">
        <v>507.70915200000002</v>
      </c>
      <c r="D28">
        <v>1</v>
      </c>
      <c r="E28">
        <v>11</v>
      </c>
      <c r="F28">
        <f t="shared" si="0"/>
        <v>12</v>
      </c>
      <c r="G28">
        <f t="shared" si="1"/>
        <v>6092.5098240000007</v>
      </c>
      <c r="H28" s="1">
        <f t="shared" si="2"/>
        <v>22359.511054080001</v>
      </c>
      <c r="I28" s="1">
        <f t="shared" si="3"/>
        <v>12575.485461363725</v>
      </c>
      <c r="J28">
        <v>62</v>
      </c>
      <c r="K28">
        <f t="shared" si="4"/>
        <v>1</v>
      </c>
      <c r="L28">
        <v>1.083712137</v>
      </c>
      <c r="M28" s="1">
        <f t="shared" si="5"/>
        <v>2709280.3425000003</v>
      </c>
      <c r="N28" s="1">
        <f t="shared" si="6"/>
        <v>49259.642590909098</v>
      </c>
      <c r="O28" s="1">
        <f>M28/H28</f>
        <v>121.16903343490735</v>
      </c>
      <c r="P28" t="b">
        <v>1</v>
      </c>
      <c r="Q28">
        <f t="shared" si="7"/>
        <v>0</v>
      </c>
      <c r="R28" s="1">
        <f t="shared" si="8"/>
        <v>21000</v>
      </c>
      <c r="S28">
        <f t="shared" si="9"/>
        <v>0</v>
      </c>
      <c r="T28">
        <f t="shared" si="10"/>
        <v>1</v>
      </c>
    </row>
    <row r="29" spans="2:20">
      <c r="B29" t="s">
        <v>34</v>
      </c>
      <c r="C29">
        <v>500.744304</v>
      </c>
      <c r="D29">
        <v>32</v>
      </c>
      <c r="E29">
        <v>38</v>
      </c>
      <c r="F29">
        <f t="shared" si="0"/>
        <v>70</v>
      </c>
      <c r="G29">
        <f t="shared" si="1"/>
        <v>35052.101280000003</v>
      </c>
      <c r="H29" s="1">
        <f t="shared" si="2"/>
        <v>128641.21169760001</v>
      </c>
      <c r="I29" s="1">
        <f t="shared" si="3"/>
        <v>389033.43849619903</v>
      </c>
      <c r="J29">
        <v>75</v>
      </c>
      <c r="K29">
        <f t="shared" si="4"/>
        <v>1</v>
      </c>
      <c r="L29">
        <v>16.038203190000001</v>
      </c>
      <c r="M29" s="1">
        <f t="shared" si="5"/>
        <v>40095507.975000001</v>
      </c>
      <c r="N29" s="1">
        <f t="shared" si="6"/>
        <v>729009.23590909096</v>
      </c>
      <c r="O29" s="1">
        <f>M29/H29</f>
        <v>311.68478161767842</v>
      </c>
      <c r="P29" t="b">
        <v>1</v>
      </c>
      <c r="Q29">
        <f t="shared" si="7"/>
        <v>0</v>
      </c>
      <c r="R29" s="1">
        <f t="shared" si="8"/>
        <v>358000</v>
      </c>
      <c r="S29">
        <f t="shared" si="9"/>
        <v>1</v>
      </c>
      <c r="T29">
        <f t="shared" si="10"/>
        <v>1</v>
      </c>
    </row>
    <row r="30" spans="2:20">
      <c r="B30" t="s">
        <v>35</v>
      </c>
      <c r="C30">
        <v>330.778368</v>
      </c>
      <c r="D30">
        <v>15</v>
      </c>
      <c r="E30">
        <v>10</v>
      </c>
      <c r="F30">
        <f t="shared" si="0"/>
        <v>25</v>
      </c>
      <c r="G30">
        <f t="shared" si="1"/>
        <v>8269.4591999999993</v>
      </c>
      <c r="H30" s="1">
        <f t="shared" si="2"/>
        <v>30348.915263999996</v>
      </c>
      <c r="I30" s="1">
        <f t="shared" si="3"/>
        <v>120332.57483844964</v>
      </c>
      <c r="J30">
        <v>54</v>
      </c>
      <c r="K30">
        <f t="shared" si="4"/>
        <v>0</v>
      </c>
      <c r="L30">
        <v>0.67107763600000003</v>
      </c>
      <c r="M30" s="1">
        <f t="shared" si="5"/>
        <v>1677694.09</v>
      </c>
      <c r="N30" s="1">
        <f t="shared" si="6"/>
        <v>30503.52890909091</v>
      </c>
      <c r="O30" s="1">
        <f>M30/H30</f>
        <v>55.280199486737089</v>
      </c>
      <c r="P30" t="b">
        <v>1</v>
      </c>
      <c r="Q30">
        <f t="shared" si="7"/>
        <v>0</v>
      </c>
      <c r="R30" s="1">
        <f t="shared" si="8"/>
        <v>160000</v>
      </c>
      <c r="S30">
        <f t="shared" si="9"/>
        <v>0</v>
      </c>
      <c r="T30">
        <f t="shared" si="10"/>
        <v>0</v>
      </c>
    </row>
    <row r="31" spans="2:20">
      <c r="B31" t="s">
        <v>36</v>
      </c>
      <c r="C31">
        <v>331.49548800000002</v>
      </c>
      <c r="D31">
        <v>35</v>
      </c>
      <c r="E31">
        <v>163</v>
      </c>
      <c r="F31">
        <f t="shared" si="0"/>
        <v>198</v>
      </c>
      <c r="G31">
        <f t="shared" si="1"/>
        <v>65636.106624000007</v>
      </c>
      <c r="H31" s="1">
        <f t="shared" si="2"/>
        <v>240884.51131008001</v>
      </c>
      <c r="I31" s="1">
        <f t="shared" si="3"/>
        <v>283699.66746502678</v>
      </c>
      <c r="J31">
        <v>61</v>
      </c>
      <c r="K31">
        <f t="shared" si="4"/>
        <v>1</v>
      </c>
      <c r="L31">
        <v>14.03739764</v>
      </c>
      <c r="M31" s="1">
        <f t="shared" si="5"/>
        <v>35093494.100000001</v>
      </c>
      <c r="N31" s="1">
        <f t="shared" si="6"/>
        <v>638063.52909090917</v>
      </c>
      <c r="O31" s="1">
        <f>M31/H31</f>
        <v>145.68597170959529</v>
      </c>
      <c r="P31" t="b">
        <v>1</v>
      </c>
      <c r="Q31">
        <f t="shared" si="7"/>
        <v>0</v>
      </c>
      <c r="R31" s="1">
        <f t="shared" si="8"/>
        <v>513000</v>
      </c>
      <c r="S31">
        <f t="shared" si="9"/>
        <v>0</v>
      </c>
      <c r="T31">
        <f t="shared" si="10"/>
        <v>1</v>
      </c>
    </row>
    <row r="32" spans="2:20">
      <c r="B32" t="s">
        <v>37</v>
      </c>
      <c r="C32">
        <v>329.69159999999999</v>
      </c>
      <c r="D32">
        <v>2</v>
      </c>
      <c r="E32">
        <v>1</v>
      </c>
      <c r="F32">
        <f t="shared" si="0"/>
        <v>3</v>
      </c>
      <c r="G32">
        <f t="shared" si="1"/>
        <v>989.07479999999998</v>
      </c>
      <c r="H32" s="1">
        <f t="shared" si="2"/>
        <v>3629.9045160000001</v>
      </c>
      <c r="I32" s="1">
        <f t="shared" si="3"/>
        <v>15986.134971774329</v>
      </c>
      <c r="J32">
        <v>63</v>
      </c>
      <c r="K32">
        <f t="shared" si="4"/>
        <v>1</v>
      </c>
      <c r="L32">
        <v>5.7927624089999998</v>
      </c>
      <c r="M32" s="1">
        <f t="shared" si="5"/>
        <v>14481906.022499999</v>
      </c>
      <c r="N32" s="1">
        <f t="shared" si="6"/>
        <v>263307.38222727273</v>
      </c>
      <c r="O32" s="1">
        <f>M32/H32</f>
        <v>3989.6107345706278</v>
      </c>
      <c r="P32" t="b">
        <v>1</v>
      </c>
      <c r="Q32">
        <f t="shared" si="7"/>
        <v>0</v>
      </c>
      <c r="R32" s="1">
        <f t="shared" si="8"/>
        <v>21000</v>
      </c>
      <c r="S32">
        <f t="shared" si="9"/>
        <v>0</v>
      </c>
      <c r="T32">
        <f t="shared" si="10"/>
        <v>1</v>
      </c>
    </row>
    <row r="33" spans="2:20">
      <c r="B33" t="s">
        <v>38</v>
      </c>
      <c r="C33">
        <v>316.469088</v>
      </c>
      <c r="D33">
        <v>86</v>
      </c>
      <c r="E33">
        <v>302</v>
      </c>
      <c r="F33">
        <f t="shared" si="0"/>
        <v>388</v>
      </c>
      <c r="G33">
        <f t="shared" si="1"/>
        <v>122790.006144</v>
      </c>
      <c r="H33" s="1">
        <f t="shared" si="2"/>
        <v>450639.32254848001</v>
      </c>
      <c r="I33" s="1">
        <f t="shared" si="3"/>
        <v>663933.2685808005</v>
      </c>
      <c r="J33">
        <v>63</v>
      </c>
      <c r="K33">
        <f t="shared" si="4"/>
        <v>1</v>
      </c>
      <c r="L33">
        <v>32.295266050000002</v>
      </c>
      <c r="M33" s="1">
        <f t="shared" si="5"/>
        <v>80738165.125</v>
      </c>
      <c r="N33" s="1">
        <f t="shared" si="6"/>
        <v>1467966.6386363637</v>
      </c>
      <c r="O33" s="1">
        <f>M33/H33</f>
        <v>179.16360398467924</v>
      </c>
      <c r="P33" t="b">
        <v>1</v>
      </c>
      <c r="Q33">
        <f t="shared" si="7"/>
        <v>0</v>
      </c>
      <c r="R33" s="1">
        <f t="shared" si="8"/>
        <v>1162000</v>
      </c>
      <c r="S33">
        <f t="shared" si="9"/>
        <v>0</v>
      </c>
      <c r="T33">
        <f t="shared" si="10"/>
        <v>1</v>
      </c>
    </row>
    <row r="34" spans="2:20">
      <c r="B34" t="s">
        <v>39</v>
      </c>
      <c r="C34">
        <v>155.84673599999999</v>
      </c>
      <c r="D34">
        <v>87</v>
      </c>
      <c r="E34">
        <v>653</v>
      </c>
      <c r="F34">
        <f t="shared" si="0"/>
        <v>740</v>
      </c>
      <c r="G34">
        <f t="shared" si="1"/>
        <v>115326.58464</v>
      </c>
      <c r="H34" s="1">
        <f t="shared" si="2"/>
        <v>423248.56562880002</v>
      </c>
      <c r="I34" s="1">
        <f t="shared" si="3"/>
        <v>333466.72936362383</v>
      </c>
      <c r="J34">
        <v>50</v>
      </c>
      <c r="K34">
        <f t="shared" si="4"/>
        <v>0</v>
      </c>
      <c r="L34">
        <v>5.2570049550000002</v>
      </c>
      <c r="M34" s="1">
        <f t="shared" si="5"/>
        <v>13142512.387500001</v>
      </c>
      <c r="N34" s="1">
        <f t="shared" si="6"/>
        <v>238954.77068181819</v>
      </c>
      <c r="O34" s="1">
        <f>M34/H34</f>
        <v>31.051522568008714</v>
      </c>
      <c r="P34" t="b">
        <v>1</v>
      </c>
      <c r="Q34">
        <f t="shared" si="7"/>
        <v>1</v>
      </c>
      <c r="R34" s="1">
        <f t="shared" si="8"/>
        <v>1523000</v>
      </c>
      <c r="S34">
        <f t="shared" si="9"/>
        <v>0</v>
      </c>
      <c r="T34">
        <f t="shared" si="10"/>
        <v>0</v>
      </c>
    </row>
    <row r="35" spans="2:20">
      <c r="B35" t="s">
        <v>40</v>
      </c>
      <c r="C35">
        <v>170.653536</v>
      </c>
      <c r="D35">
        <v>23</v>
      </c>
      <c r="E35">
        <v>500</v>
      </c>
      <c r="F35">
        <f t="shared" si="0"/>
        <v>523</v>
      </c>
      <c r="G35">
        <f t="shared" si="1"/>
        <v>89251.799328000008</v>
      </c>
      <c r="H35" s="1">
        <f t="shared" si="2"/>
        <v>327554.10353376</v>
      </c>
      <c r="I35" s="1">
        <f t="shared" si="3"/>
        <v>99326.961850706241</v>
      </c>
      <c r="J35">
        <v>50</v>
      </c>
      <c r="K35">
        <f t="shared" si="4"/>
        <v>0</v>
      </c>
      <c r="L35">
        <v>12.08238923</v>
      </c>
      <c r="M35" s="1">
        <f t="shared" si="5"/>
        <v>30205973.074999999</v>
      </c>
      <c r="N35" s="1">
        <f t="shared" si="6"/>
        <v>549199.5104545455</v>
      </c>
      <c r="O35" s="1">
        <f>M35/H35</f>
        <v>92.216744498475691</v>
      </c>
      <c r="P35" t="b">
        <v>1</v>
      </c>
      <c r="Q35">
        <f t="shared" si="7"/>
        <v>0</v>
      </c>
      <c r="R35" s="1">
        <f t="shared" si="8"/>
        <v>730000</v>
      </c>
      <c r="S35">
        <f t="shared" si="9"/>
        <v>0</v>
      </c>
      <c r="T35">
        <f t="shared" si="10"/>
        <v>0</v>
      </c>
    </row>
    <row r="36" spans="2:20">
      <c r="B36" t="s">
        <v>41</v>
      </c>
      <c r="C36">
        <v>159.77592000000001</v>
      </c>
      <c r="D36">
        <v>14</v>
      </c>
      <c r="E36">
        <v>159</v>
      </c>
      <c r="F36">
        <f t="shared" si="0"/>
        <v>173</v>
      </c>
      <c r="G36">
        <f t="shared" si="1"/>
        <v>27641.234160000004</v>
      </c>
      <c r="H36" s="1">
        <f t="shared" si="2"/>
        <v>101443.32936720001</v>
      </c>
      <c r="I36" s="1">
        <f t="shared" si="3"/>
        <v>55444.965764015804</v>
      </c>
      <c r="J36">
        <v>47</v>
      </c>
      <c r="K36">
        <f t="shared" si="4"/>
        <v>0</v>
      </c>
      <c r="L36">
        <v>8.1590244999999992</v>
      </c>
      <c r="M36" s="1">
        <f t="shared" si="5"/>
        <v>20397561.249999996</v>
      </c>
      <c r="N36" s="1">
        <f t="shared" si="6"/>
        <v>370864.74999999994</v>
      </c>
      <c r="O36" s="1">
        <f>M36/H36</f>
        <v>201.07346019929827</v>
      </c>
      <c r="P36" t="b">
        <v>1</v>
      </c>
      <c r="Q36">
        <f t="shared" si="7"/>
        <v>0</v>
      </c>
      <c r="R36" s="1">
        <f t="shared" si="8"/>
        <v>299000</v>
      </c>
      <c r="S36">
        <f t="shared" si="9"/>
        <v>0</v>
      </c>
      <c r="T36">
        <f t="shared" si="10"/>
        <v>1</v>
      </c>
    </row>
    <row r="37" spans="2:20">
      <c r="B37" t="s">
        <v>42</v>
      </c>
      <c r="C37">
        <v>243.091872</v>
      </c>
      <c r="D37">
        <v>9</v>
      </c>
      <c r="E37">
        <v>62</v>
      </c>
      <c r="F37">
        <f t="shared" si="0"/>
        <v>71</v>
      </c>
      <c r="G37">
        <f t="shared" si="1"/>
        <v>17259.522912</v>
      </c>
      <c r="H37" s="1">
        <f t="shared" si="2"/>
        <v>63342.449087039997</v>
      </c>
      <c r="I37" s="1">
        <f t="shared" si="3"/>
        <v>53740.724724716951</v>
      </c>
      <c r="J37">
        <v>48</v>
      </c>
      <c r="K37">
        <f t="shared" si="4"/>
        <v>0</v>
      </c>
      <c r="L37">
        <v>5.3957771819999998</v>
      </c>
      <c r="M37" s="1">
        <f t="shared" si="5"/>
        <v>13489442.955</v>
      </c>
      <c r="N37" s="1">
        <f t="shared" si="6"/>
        <v>245262.59918181819</v>
      </c>
      <c r="O37" s="1">
        <f>M37/H37</f>
        <v>212.96055251138009</v>
      </c>
      <c r="P37" t="b">
        <v>1</v>
      </c>
      <c r="Q37">
        <f t="shared" si="7"/>
        <v>0</v>
      </c>
      <c r="R37" s="1">
        <f t="shared" si="8"/>
        <v>152000</v>
      </c>
      <c r="S37">
        <f t="shared" si="9"/>
        <v>0</v>
      </c>
      <c r="T37">
        <f t="shared" si="10"/>
        <v>1</v>
      </c>
    </row>
    <row r="38" spans="2:20">
      <c r="B38" t="s">
        <v>43</v>
      </c>
      <c r="C38">
        <v>243.07761600000001</v>
      </c>
      <c r="D38">
        <v>22</v>
      </c>
      <c r="E38">
        <v>3</v>
      </c>
      <c r="F38">
        <f t="shared" si="0"/>
        <v>25</v>
      </c>
      <c r="G38">
        <f t="shared" si="1"/>
        <v>6076.9404000000004</v>
      </c>
      <c r="H38" s="1">
        <f t="shared" si="2"/>
        <v>22302.371268000003</v>
      </c>
      <c r="I38" s="1">
        <f t="shared" si="3"/>
        <v>129552.98557399448</v>
      </c>
      <c r="J38">
        <v>48</v>
      </c>
      <c r="K38">
        <f t="shared" si="4"/>
        <v>0</v>
      </c>
      <c r="L38">
        <v>4.3778840450000001</v>
      </c>
      <c r="M38" s="1">
        <f t="shared" si="5"/>
        <v>10944710.112500001</v>
      </c>
      <c r="N38" s="1">
        <f t="shared" si="6"/>
        <v>198994.72931818184</v>
      </c>
      <c r="O38" s="1">
        <f>M38/H38</f>
        <v>490.74199245367885</v>
      </c>
      <c r="P38" t="b">
        <v>1</v>
      </c>
      <c r="Q38">
        <f t="shared" si="7"/>
        <v>0</v>
      </c>
      <c r="R38" s="1">
        <f t="shared" si="8"/>
        <v>223000</v>
      </c>
      <c r="S38">
        <f t="shared" si="9"/>
        <v>0</v>
      </c>
      <c r="T38">
        <f t="shared" si="10"/>
        <v>0</v>
      </c>
    </row>
    <row r="39" spans="2:20">
      <c r="B39" t="s">
        <v>44</v>
      </c>
      <c r="C39">
        <v>242.49484799999999</v>
      </c>
      <c r="D39">
        <v>9</v>
      </c>
      <c r="E39">
        <v>86</v>
      </c>
      <c r="F39">
        <f t="shared" si="0"/>
        <v>95</v>
      </c>
      <c r="G39">
        <f t="shared" si="1"/>
        <v>23037.010559999999</v>
      </c>
      <c r="H39" s="1">
        <f t="shared" si="2"/>
        <v>84545.828755199997</v>
      </c>
      <c r="I39" s="1">
        <f t="shared" si="3"/>
        <v>53899.733453000394</v>
      </c>
      <c r="J39">
        <v>48</v>
      </c>
      <c r="K39">
        <f t="shared" si="4"/>
        <v>0</v>
      </c>
      <c r="L39">
        <v>6.6125081369999998</v>
      </c>
      <c r="M39" s="1">
        <f t="shared" si="5"/>
        <v>16531270.342499999</v>
      </c>
      <c r="N39" s="1">
        <f t="shared" si="6"/>
        <v>300568.55168181815</v>
      </c>
      <c r="O39" s="1">
        <f>M39/H39</f>
        <v>195.53028914490642</v>
      </c>
      <c r="P39" t="b">
        <v>1</v>
      </c>
      <c r="Q39">
        <f t="shared" si="7"/>
        <v>0</v>
      </c>
      <c r="R39" s="1">
        <f t="shared" si="8"/>
        <v>176000</v>
      </c>
      <c r="S39">
        <f t="shared" si="9"/>
        <v>0</v>
      </c>
      <c r="T39">
        <f t="shared" si="10"/>
        <v>1</v>
      </c>
    </row>
    <row r="40" spans="2:20">
      <c r="B40" t="s">
        <v>45</v>
      </c>
      <c r="C40">
        <v>242.76931200000001</v>
      </c>
      <c r="D40">
        <v>19</v>
      </c>
      <c r="E40">
        <v>120</v>
      </c>
      <c r="F40">
        <f t="shared" si="0"/>
        <v>139</v>
      </c>
      <c r="G40">
        <f t="shared" si="1"/>
        <v>33744.934368000002</v>
      </c>
      <c r="H40" s="1">
        <f t="shared" si="2"/>
        <v>123843.90913056</v>
      </c>
      <c r="I40" s="1">
        <f t="shared" si="3"/>
        <v>113169.92572178099</v>
      </c>
      <c r="J40">
        <v>48</v>
      </c>
      <c r="K40">
        <f t="shared" si="4"/>
        <v>0</v>
      </c>
      <c r="L40">
        <v>7.631091681</v>
      </c>
      <c r="M40" s="1">
        <f t="shared" si="5"/>
        <v>19077729.202500001</v>
      </c>
      <c r="N40" s="1">
        <f t="shared" si="6"/>
        <v>346867.80368181819</v>
      </c>
      <c r="O40" s="1">
        <f>M40/H40</f>
        <v>154.04656826834884</v>
      </c>
      <c r="P40" t="b">
        <v>1</v>
      </c>
      <c r="Q40">
        <f t="shared" si="7"/>
        <v>0</v>
      </c>
      <c r="R40" s="1">
        <f t="shared" si="8"/>
        <v>310000</v>
      </c>
      <c r="S40">
        <f t="shared" si="9"/>
        <v>0</v>
      </c>
      <c r="T40">
        <f t="shared" si="10"/>
        <v>1</v>
      </c>
    </row>
    <row r="41" spans="2:20">
      <c r="B41" t="s">
        <v>46</v>
      </c>
      <c r="C41">
        <v>186.410304</v>
      </c>
      <c r="D41">
        <v>6</v>
      </c>
      <c r="E41">
        <v>16</v>
      </c>
      <c r="F41">
        <f t="shared" si="0"/>
        <v>22</v>
      </c>
      <c r="G41">
        <f t="shared" si="1"/>
        <v>4101.0266879999999</v>
      </c>
      <c r="H41" s="1">
        <f t="shared" si="2"/>
        <v>15050.76794496</v>
      </c>
      <c r="I41" s="1">
        <f t="shared" si="3"/>
        <v>27237.237715546635</v>
      </c>
      <c r="J41">
        <v>63</v>
      </c>
      <c r="K41">
        <f t="shared" si="4"/>
        <v>1</v>
      </c>
      <c r="L41">
        <v>8.9267594090000006</v>
      </c>
      <c r="M41" s="1">
        <f t="shared" si="5"/>
        <v>22316898.522500001</v>
      </c>
      <c r="N41" s="1">
        <f t="shared" si="6"/>
        <v>405761.79131818184</v>
      </c>
      <c r="O41" s="1">
        <f>M41/H41</f>
        <v>1482.7747397416479</v>
      </c>
      <c r="P41" t="b">
        <v>1</v>
      </c>
      <c r="Q41">
        <f t="shared" si="7"/>
        <v>0</v>
      </c>
      <c r="R41" s="1">
        <f t="shared" si="8"/>
        <v>76000</v>
      </c>
      <c r="S41">
        <f t="shared" si="9"/>
        <v>0</v>
      </c>
      <c r="T41">
        <f t="shared" si="10"/>
        <v>1</v>
      </c>
    </row>
    <row r="42" spans="2:20">
      <c r="B42" t="s">
        <v>47</v>
      </c>
      <c r="C42">
        <v>342.10958399999998</v>
      </c>
      <c r="D42">
        <v>13</v>
      </c>
      <c r="E42">
        <v>110</v>
      </c>
      <c r="F42">
        <f t="shared" si="0"/>
        <v>123</v>
      </c>
      <c r="G42">
        <f t="shared" si="1"/>
        <v>42079.478832000001</v>
      </c>
      <c r="H42" s="1">
        <f t="shared" si="2"/>
        <v>154431.68731343999</v>
      </c>
      <c r="I42" s="1">
        <f t="shared" si="3"/>
        <v>109594.10718287458</v>
      </c>
      <c r="J42">
        <v>74</v>
      </c>
      <c r="K42">
        <f t="shared" si="4"/>
        <v>1</v>
      </c>
      <c r="L42">
        <v>8.8735979090000008</v>
      </c>
      <c r="M42" s="1">
        <f t="shared" si="5"/>
        <v>22183994.772500001</v>
      </c>
      <c r="N42" s="1">
        <f t="shared" si="6"/>
        <v>403345.35950000002</v>
      </c>
      <c r="O42" s="1">
        <f>M42/H42</f>
        <v>143.649241670685</v>
      </c>
      <c r="P42" t="b">
        <v>0</v>
      </c>
      <c r="Q42">
        <f t="shared" si="7"/>
        <v>0</v>
      </c>
      <c r="R42" s="1">
        <f t="shared" si="8"/>
        <v>240000</v>
      </c>
      <c r="S42">
        <f t="shared" si="9"/>
        <v>0</v>
      </c>
      <c r="T42">
        <f t="shared" si="10"/>
        <v>1</v>
      </c>
    </row>
    <row r="43" spans="2:20">
      <c r="B43" t="s">
        <v>48</v>
      </c>
      <c r="C43">
        <v>160.29244800000001</v>
      </c>
      <c r="D43">
        <v>45</v>
      </c>
      <c r="E43">
        <v>231</v>
      </c>
      <c r="F43">
        <f t="shared" si="0"/>
        <v>276</v>
      </c>
      <c r="G43">
        <f t="shared" si="1"/>
        <v>44240.715648000005</v>
      </c>
      <c r="H43" s="1">
        <f t="shared" si="2"/>
        <v>162363.42642816002</v>
      </c>
      <c r="I43" s="1">
        <f t="shared" si="3"/>
        <v>176547.43611357969</v>
      </c>
      <c r="J43">
        <v>47</v>
      </c>
      <c r="K43">
        <f t="shared" si="4"/>
        <v>0</v>
      </c>
      <c r="L43">
        <v>2.149933909</v>
      </c>
      <c r="M43" s="1">
        <f t="shared" si="5"/>
        <v>5374834.7725</v>
      </c>
      <c r="N43" s="1">
        <f t="shared" si="6"/>
        <v>97724.268590909094</v>
      </c>
      <c r="O43" s="1">
        <f>M43/H43</f>
        <v>33.103728411879572</v>
      </c>
      <c r="P43" t="b">
        <v>0</v>
      </c>
      <c r="Q43">
        <f t="shared" si="7"/>
        <v>1</v>
      </c>
      <c r="R43" s="1">
        <f t="shared" si="8"/>
        <v>681000</v>
      </c>
      <c r="S43">
        <f t="shared" si="9"/>
        <v>0</v>
      </c>
      <c r="T43">
        <f t="shared" si="10"/>
        <v>0</v>
      </c>
    </row>
    <row r="44" spans="2:20">
      <c r="B44" t="s">
        <v>49</v>
      </c>
      <c r="C44">
        <v>162.565776</v>
      </c>
      <c r="D44">
        <v>15</v>
      </c>
      <c r="E44">
        <v>24</v>
      </c>
      <c r="F44">
        <f t="shared" si="0"/>
        <v>39</v>
      </c>
      <c r="G44">
        <f t="shared" si="1"/>
        <v>6340.0652639999998</v>
      </c>
      <c r="H44" s="1">
        <f t="shared" si="2"/>
        <v>23268.039518879999</v>
      </c>
      <c r="I44" s="1">
        <f t="shared" si="3"/>
        <v>59252.966857086598</v>
      </c>
      <c r="J44">
        <v>54</v>
      </c>
      <c r="K44">
        <f t="shared" si="4"/>
        <v>0</v>
      </c>
      <c r="L44">
        <v>1.7354583180000001</v>
      </c>
      <c r="M44" s="1">
        <f t="shared" si="5"/>
        <v>4338645.7949999999</v>
      </c>
      <c r="N44" s="1">
        <f t="shared" si="6"/>
        <v>78884.468999999997</v>
      </c>
      <c r="O44" s="1">
        <f>M44/H44</f>
        <v>186.46374532240091</v>
      </c>
      <c r="P44" t="b">
        <v>1</v>
      </c>
      <c r="Q44">
        <f t="shared" si="7"/>
        <v>0</v>
      </c>
      <c r="R44" s="1">
        <f t="shared" si="8"/>
        <v>174000</v>
      </c>
      <c r="S44">
        <f t="shared" si="9"/>
        <v>0</v>
      </c>
      <c r="T44">
        <f t="shared" si="10"/>
        <v>0</v>
      </c>
    </row>
    <row r="45" spans="2:20">
      <c r="B45" t="s">
        <v>50</v>
      </c>
      <c r="C45">
        <v>185.721408</v>
      </c>
      <c r="D45">
        <v>60</v>
      </c>
      <c r="E45">
        <v>267</v>
      </c>
      <c r="F45">
        <f t="shared" si="0"/>
        <v>327</v>
      </c>
      <c r="G45">
        <f t="shared" si="1"/>
        <v>60730.900415999997</v>
      </c>
      <c r="H45" s="1">
        <f t="shared" si="2"/>
        <v>222882.40452672</v>
      </c>
      <c r="I45" s="1">
        <f t="shared" si="3"/>
        <v>272359.4101358623</v>
      </c>
      <c r="J45">
        <v>54</v>
      </c>
      <c r="K45">
        <f t="shared" si="4"/>
        <v>0</v>
      </c>
      <c r="L45">
        <v>17.85950236</v>
      </c>
      <c r="M45" s="1">
        <f t="shared" si="5"/>
        <v>44648755.899999999</v>
      </c>
      <c r="N45" s="1">
        <f t="shared" si="6"/>
        <v>811795.56181818177</v>
      </c>
      <c r="O45" s="1">
        <f>M45/H45</f>
        <v>200.32427411580323</v>
      </c>
      <c r="P45" t="b">
        <v>1</v>
      </c>
      <c r="Q45">
        <f t="shared" si="7"/>
        <v>0</v>
      </c>
      <c r="R45" s="1">
        <f t="shared" si="8"/>
        <v>867000</v>
      </c>
      <c r="S45">
        <f t="shared" si="9"/>
        <v>0</v>
      </c>
      <c r="T45">
        <f t="shared" si="10"/>
        <v>0</v>
      </c>
    </row>
    <row r="46" spans="2:20">
      <c r="B46" t="s">
        <v>51</v>
      </c>
      <c r="C46">
        <v>530.39534400000002</v>
      </c>
      <c r="D46">
        <v>59</v>
      </c>
      <c r="E46">
        <v>237</v>
      </c>
      <c r="F46">
        <f t="shared" si="0"/>
        <v>296</v>
      </c>
      <c r="G46">
        <f t="shared" si="1"/>
        <v>156997.021824</v>
      </c>
      <c r="H46" s="1">
        <f t="shared" si="2"/>
        <v>576179.07009407994</v>
      </c>
      <c r="I46" s="1">
        <f t="shared" si="3"/>
        <v>764180.54002075118</v>
      </c>
      <c r="J46">
        <v>63</v>
      </c>
      <c r="K46">
        <f t="shared" si="4"/>
        <v>1</v>
      </c>
      <c r="L46">
        <v>38.556586090000003</v>
      </c>
      <c r="M46" s="1">
        <f t="shared" si="5"/>
        <v>96391465.225000009</v>
      </c>
      <c r="N46" s="1">
        <f t="shared" si="6"/>
        <v>1752572.0950000002</v>
      </c>
      <c r="O46" s="1">
        <f>M46/H46</f>
        <v>167.29428441276247</v>
      </c>
      <c r="P46" t="b">
        <v>1</v>
      </c>
      <c r="Q46">
        <f t="shared" si="7"/>
        <v>0</v>
      </c>
      <c r="R46" s="1">
        <f t="shared" si="8"/>
        <v>827000</v>
      </c>
      <c r="S46">
        <f t="shared" si="9"/>
        <v>0</v>
      </c>
      <c r="T46">
        <f t="shared" si="10"/>
        <v>1</v>
      </c>
    </row>
    <row r="47" spans="2:20">
      <c r="B47" t="s">
        <v>52</v>
      </c>
      <c r="C47">
        <v>173.38996800000001</v>
      </c>
      <c r="D47">
        <v>10</v>
      </c>
      <c r="E47">
        <v>15</v>
      </c>
      <c r="F47">
        <f t="shared" si="0"/>
        <v>25</v>
      </c>
      <c r="G47">
        <f t="shared" si="1"/>
        <v>4334.7492000000002</v>
      </c>
      <c r="H47" s="1">
        <f t="shared" si="2"/>
        <v>15908.529564</v>
      </c>
      <c r="I47" s="1">
        <f t="shared" si="3"/>
        <v>42123.486810052469</v>
      </c>
      <c r="J47">
        <v>43</v>
      </c>
      <c r="K47">
        <f t="shared" si="4"/>
        <v>0</v>
      </c>
      <c r="L47">
        <v>3.335596454</v>
      </c>
      <c r="M47" s="1">
        <f t="shared" si="5"/>
        <v>8338991.1349999998</v>
      </c>
      <c r="N47" s="1">
        <f t="shared" si="6"/>
        <v>151618.02063636362</v>
      </c>
      <c r="O47" s="1">
        <f>M47/H47</f>
        <v>524.18365264069473</v>
      </c>
      <c r="P47" t="b">
        <v>0</v>
      </c>
      <c r="Q47">
        <f t="shared" si="7"/>
        <v>0</v>
      </c>
      <c r="R47" s="1">
        <f t="shared" si="8"/>
        <v>115000</v>
      </c>
      <c r="S47">
        <f t="shared" si="9"/>
        <v>0</v>
      </c>
      <c r="T47">
        <f t="shared" si="10"/>
        <v>1</v>
      </c>
    </row>
    <row r="48" spans="2:20">
      <c r="B48" t="s">
        <v>53</v>
      </c>
      <c r="C48">
        <v>156.67588799999999</v>
      </c>
      <c r="D48">
        <v>32</v>
      </c>
      <c r="E48">
        <v>219</v>
      </c>
      <c r="F48">
        <f t="shared" si="0"/>
        <v>251</v>
      </c>
      <c r="G48">
        <f t="shared" si="1"/>
        <v>39325.647888</v>
      </c>
      <c r="H48" s="1">
        <f t="shared" si="2"/>
        <v>144325.12774895999</v>
      </c>
      <c r="I48" s="1">
        <f t="shared" si="3"/>
        <v>123141.03765106662</v>
      </c>
      <c r="J48">
        <v>44</v>
      </c>
      <c r="K48">
        <f t="shared" si="4"/>
        <v>0</v>
      </c>
      <c r="L48">
        <v>12.74587236</v>
      </c>
      <c r="M48" s="1">
        <f t="shared" si="5"/>
        <v>31864680.899999999</v>
      </c>
      <c r="N48" s="1">
        <f t="shared" si="6"/>
        <v>579357.83454545448</v>
      </c>
      <c r="O48" s="1">
        <f>M48/H48</f>
        <v>220.7840131305868</v>
      </c>
      <c r="P48" t="b">
        <v>1</v>
      </c>
      <c r="Q48">
        <f t="shared" si="7"/>
        <v>0</v>
      </c>
      <c r="R48" s="1">
        <f t="shared" si="8"/>
        <v>539000</v>
      </c>
      <c r="S48">
        <f t="shared" si="9"/>
        <v>0</v>
      </c>
      <c r="T48">
        <f t="shared" si="10"/>
        <v>1</v>
      </c>
    </row>
    <row r="49" spans="2:20">
      <c r="B49" t="s">
        <v>54</v>
      </c>
      <c r="C49">
        <v>157.50518400000001</v>
      </c>
      <c r="D49">
        <v>5</v>
      </c>
      <c r="E49">
        <v>27</v>
      </c>
      <c r="F49">
        <f t="shared" si="0"/>
        <v>32</v>
      </c>
      <c r="G49">
        <f t="shared" si="1"/>
        <v>5040.1658880000005</v>
      </c>
      <c r="H49" s="1">
        <f t="shared" si="2"/>
        <v>18497.408808960001</v>
      </c>
      <c r="I49" s="1">
        <f t="shared" si="3"/>
        <v>19285.7803844378</v>
      </c>
      <c r="J49">
        <v>44</v>
      </c>
      <c r="K49">
        <f t="shared" si="4"/>
        <v>0</v>
      </c>
      <c r="L49">
        <v>5.0314713180000004</v>
      </c>
      <c r="M49" s="1">
        <f t="shared" si="5"/>
        <v>12578678.295000002</v>
      </c>
      <c r="N49" s="1">
        <f t="shared" si="6"/>
        <v>228703.24172727275</v>
      </c>
      <c r="O49" s="1">
        <f>M49/H49</f>
        <v>680.02380359929055</v>
      </c>
      <c r="P49" t="b">
        <v>1</v>
      </c>
      <c r="Q49">
        <f t="shared" si="7"/>
        <v>0</v>
      </c>
      <c r="R49" s="1">
        <f t="shared" si="8"/>
        <v>77000</v>
      </c>
      <c r="S49">
        <f t="shared" si="9"/>
        <v>0</v>
      </c>
      <c r="T49">
        <f t="shared" si="10"/>
        <v>1</v>
      </c>
    </row>
    <row r="50" spans="2:20">
      <c r="B50" t="s">
        <v>55</v>
      </c>
      <c r="C50">
        <v>113.407776</v>
      </c>
      <c r="D50">
        <v>24</v>
      </c>
      <c r="E50">
        <v>204</v>
      </c>
      <c r="F50">
        <f t="shared" si="0"/>
        <v>228</v>
      </c>
      <c r="G50">
        <f t="shared" si="1"/>
        <v>25856.972927999999</v>
      </c>
      <c r="H50" s="1">
        <f t="shared" si="2"/>
        <v>94895.090645759992</v>
      </c>
      <c r="I50" s="1">
        <f t="shared" si="3"/>
        <v>67075.910464770903</v>
      </c>
      <c r="J50">
        <v>41</v>
      </c>
      <c r="K50">
        <f t="shared" si="4"/>
        <v>0</v>
      </c>
      <c r="L50">
        <v>15.83683387</v>
      </c>
      <c r="M50" s="1">
        <f t="shared" si="5"/>
        <v>39592084.674999997</v>
      </c>
      <c r="N50" s="1">
        <f t="shared" si="6"/>
        <v>719856.08499999996</v>
      </c>
      <c r="O50" s="1">
        <f>M50/H50</f>
        <v>417.21952532608714</v>
      </c>
      <c r="P50" t="b">
        <v>0</v>
      </c>
      <c r="Q50">
        <f t="shared" si="7"/>
        <v>0</v>
      </c>
      <c r="R50" s="1">
        <f t="shared" si="8"/>
        <v>444000</v>
      </c>
      <c r="S50">
        <f t="shared" si="9"/>
        <v>0</v>
      </c>
      <c r="T50">
        <f t="shared" si="10"/>
        <v>1</v>
      </c>
    </row>
    <row r="51" spans="2:20">
      <c r="B51" t="s">
        <v>56</v>
      </c>
      <c r="C51">
        <v>113.020128</v>
      </c>
      <c r="D51">
        <v>39</v>
      </c>
      <c r="E51">
        <v>289</v>
      </c>
      <c r="F51">
        <f t="shared" si="0"/>
        <v>328</v>
      </c>
      <c r="G51">
        <f t="shared" si="1"/>
        <v>37070.601984000001</v>
      </c>
      <c r="H51" s="1">
        <f t="shared" si="2"/>
        <v>136049.10928127999</v>
      </c>
      <c r="I51" s="1">
        <f t="shared" si="3"/>
        <v>108385.61092216148</v>
      </c>
      <c r="J51">
        <v>44</v>
      </c>
      <c r="K51">
        <f t="shared" si="4"/>
        <v>0</v>
      </c>
      <c r="L51">
        <v>20.74288086</v>
      </c>
      <c r="M51" s="1">
        <f t="shared" si="5"/>
        <v>51857202.149999999</v>
      </c>
      <c r="N51" s="1">
        <f t="shared" si="6"/>
        <v>942858.22090909083</v>
      </c>
      <c r="O51" s="1">
        <f>M51/H51</f>
        <v>381.16531908184584</v>
      </c>
      <c r="P51" t="b">
        <v>1</v>
      </c>
      <c r="Q51">
        <f t="shared" si="7"/>
        <v>0</v>
      </c>
      <c r="R51" s="1">
        <f t="shared" si="8"/>
        <v>679000</v>
      </c>
      <c r="S51">
        <f t="shared" si="9"/>
        <v>0</v>
      </c>
      <c r="T51">
        <f t="shared" si="10"/>
        <v>1</v>
      </c>
    </row>
    <row r="52" spans="2:20">
      <c r="B52" t="s">
        <v>57</v>
      </c>
      <c r="C52">
        <v>111.94416</v>
      </c>
      <c r="D52">
        <v>113</v>
      </c>
      <c r="E52">
        <v>755</v>
      </c>
      <c r="F52">
        <f t="shared" si="0"/>
        <v>868</v>
      </c>
      <c r="G52">
        <f t="shared" si="1"/>
        <v>97167.530879999991</v>
      </c>
      <c r="H52" s="1">
        <f t="shared" si="2"/>
        <v>356604.83832959994</v>
      </c>
      <c r="I52" s="1">
        <f t="shared" si="3"/>
        <v>310589.66979760112</v>
      </c>
      <c r="J52">
        <v>44</v>
      </c>
      <c r="K52">
        <f t="shared" si="4"/>
        <v>0</v>
      </c>
      <c r="L52">
        <v>4.2160981819999996</v>
      </c>
      <c r="M52" s="1">
        <f t="shared" si="5"/>
        <v>10540245.454999998</v>
      </c>
      <c r="N52" s="1">
        <f t="shared" si="6"/>
        <v>191640.82645454543</v>
      </c>
      <c r="O52" s="1">
        <f>M52/H52</f>
        <v>29.557213817884161</v>
      </c>
      <c r="P52" t="b">
        <v>1</v>
      </c>
      <c r="Q52">
        <f t="shared" si="7"/>
        <v>1</v>
      </c>
      <c r="R52" s="1">
        <f t="shared" si="8"/>
        <v>1885000</v>
      </c>
      <c r="S52">
        <f t="shared" si="9"/>
        <v>0</v>
      </c>
      <c r="T52">
        <f t="shared" si="10"/>
        <v>0</v>
      </c>
    </row>
    <row r="53" spans="2:20">
      <c r="B53" t="s">
        <v>58</v>
      </c>
      <c r="C53">
        <v>240.30028799999999</v>
      </c>
      <c r="D53">
        <v>7</v>
      </c>
      <c r="E53">
        <v>190</v>
      </c>
      <c r="F53">
        <f t="shared" si="0"/>
        <v>197</v>
      </c>
      <c r="G53">
        <f t="shared" si="1"/>
        <v>47339.156735999997</v>
      </c>
      <c r="H53" s="1">
        <f t="shared" si="2"/>
        <v>173734.70522111998</v>
      </c>
      <c r="I53" s="1">
        <f t="shared" si="3"/>
        <v>43021.80562230161</v>
      </c>
      <c r="J53">
        <v>55</v>
      </c>
      <c r="K53">
        <f t="shared" si="4"/>
        <v>0</v>
      </c>
      <c r="L53">
        <v>6.829987</v>
      </c>
      <c r="M53" s="1">
        <f t="shared" si="5"/>
        <v>17074967.5</v>
      </c>
      <c r="N53" s="1">
        <f t="shared" si="6"/>
        <v>310453.95454545453</v>
      </c>
      <c r="O53" s="1">
        <f>M53/H53</f>
        <v>98.281845750208177</v>
      </c>
      <c r="P53" t="b">
        <v>0</v>
      </c>
      <c r="Q53">
        <f t="shared" si="7"/>
        <v>0</v>
      </c>
      <c r="R53" s="1">
        <f t="shared" si="8"/>
        <v>260000</v>
      </c>
      <c r="S53">
        <f t="shared" si="9"/>
        <v>0</v>
      </c>
      <c r="T53">
        <f t="shared" si="10"/>
        <v>1</v>
      </c>
    </row>
    <row r="54" spans="2:20">
      <c r="B54" t="s">
        <v>59</v>
      </c>
      <c r="C54">
        <v>709.85577599999999</v>
      </c>
      <c r="D54">
        <v>18</v>
      </c>
      <c r="E54">
        <v>154</v>
      </c>
      <c r="F54">
        <f t="shared" si="0"/>
        <v>172</v>
      </c>
      <c r="G54">
        <f t="shared" si="1"/>
        <v>122095.193472</v>
      </c>
      <c r="H54" s="1">
        <f t="shared" si="2"/>
        <v>448089.36004224</v>
      </c>
      <c r="I54" s="1">
        <f t="shared" si="3"/>
        <v>314922.77931320324</v>
      </c>
      <c r="J54">
        <v>76</v>
      </c>
      <c r="K54">
        <f t="shared" si="4"/>
        <v>1</v>
      </c>
      <c r="L54">
        <v>12.70191632</v>
      </c>
      <c r="M54" s="1">
        <f t="shared" si="5"/>
        <v>31754790.800000001</v>
      </c>
      <c r="N54" s="1">
        <f t="shared" si="6"/>
        <v>577359.83272727276</v>
      </c>
      <c r="O54" s="1">
        <f>M54/H54</f>
        <v>70.867094003317945</v>
      </c>
      <c r="P54" t="b">
        <v>0</v>
      </c>
      <c r="Q54">
        <f t="shared" si="7"/>
        <v>0</v>
      </c>
      <c r="R54" s="1">
        <f t="shared" si="8"/>
        <v>334000</v>
      </c>
      <c r="S54">
        <f t="shared" si="9"/>
        <v>0</v>
      </c>
      <c r="T54">
        <f t="shared" si="10"/>
        <v>1</v>
      </c>
    </row>
    <row r="55" spans="2:20">
      <c r="B55" t="s">
        <v>60</v>
      </c>
      <c r="D55">
        <v>31</v>
      </c>
      <c r="E55">
        <v>244</v>
      </c>
      <c r="F55">
        <f t="shared" si="0"/>
        <v>275</v>
      </c>
      <c r="G55">
        <f t="shared" si="1"/>
        <v>0</v>
      </c>
      <c r="H55" s="1">
        <f t="shared" si="2"/>
        <v>0</v>
      </c>
      <c r="I55" s="1">
        <f t="shared" si="3"/>
        <v>0</v>
      </c>
      <c r="J55">
        <v>38</v>
      </c>
      <c r="K55">
        <f t="shared" si="4"/>
        <v>0</v>
      </c>
      <c r="L55">
        <v>3.3602210449999999</v>
      </c>
      <c r="M55" s="1">
        <f t="shared" si="5"/>
        <v>8400552.6124999989</v>
      </c>
      <c r="N55" s="1">
        <f t="shared" si="6"/>
        <v>152737.32022727272</v>
      </c>
      <c r="O55" s="1"/>
      <c r="P55" t="b">
        <v>0</v>
      </c>
      <c r="Q55">
        <v>0</v>
      </c>
      <c r="R55" s="1">
        <f t="shared" si="8"/>
        <v>554000</v>
      </c>
      <c r="S55">
        <f t="shared" si="9"/>
        <v>0</v>
      </c>
      <c r="T55">
        <f t="shared" si="10"/>
        <v>0</v>
      </c>
    </row>
    <row r="56" spans="2:20">
      <c r="B56" t="s">
        <v>61</v>
      </c>
      <c r="C56">
        <v>113.485968</v>
      </c>
      <c r="D56">
        <v>14</v>
      </c>
      <c r="E56">
        <v>33</v>
      </c>
      <c r="F56">
        <f t="shared" si="0"/>
        <v>47</v>
      </c>
      <c r="G56">
        <f t="shared" si="1"/>
        <v>5333.8404959999998</v>
      </c>
      <c r="H56" s="1">
        <f t="shared" si="2"/>
        <v>19575.194620319999</v>
      </c>
      <c r="I56" s="1">
        <f t="shared" si="3"/>
        <v>38666.602347257096</v>
      </c>
      <c r="J56">
        <v>36</v>
      </c>
      <c r="K56">
        <f t="shared" si="4"/>
        <v>0</v>
      </c>
      <c r="L56">
        <v>9.0749672270000001</v>
      </c>
      <c r="M56" s="1">
        <f t="shared" si="5"/>
        <v>22687418.067499999</v>
      </c>
      <c r="N56" s="1">
        <f t="shared" si="6"/>
        <v>412498.51031818183</v>
      </c>
      <c r="O56" s="1">
        <f>M56/H56</f>
        <v>1158.9881228536733</v>
      </c>
      <c r="P56" t="b">
        <v>1</v>
      </c>
      <c r="Q56">
        <f t="shared" si="7"/>
        <v>0</v>
      </c>
      <c r="R56" s="1">
        <f t="shared" si="8"/>
        <v>173000</v>
      </c>
      <c r="S56">
        <f t="shared" si="9"/>
        <v>0</v>
      </c>
      <c r="T56">
        <f t="shared" si="10"/>
        <v>1</v>
      </c>
    </row>
    <row r="57" spans="2:20">
      <c r="B57" t="s">
        <v>62</v>
      </c>
      <c r="C57">
        <v>113.035104</v>
      </c>
      <c r="D57">
        <v>43</v>
      </c>
      <c r="E57">
        <v>42</v>
      </c>
      <c r="F57">
        <f t="shared" si="0"/>
        <v>85</v>
      </c>
      <c r="G57">
        <f t="shared" si="1"/>
        <v>9607.9838400000008</v>
      </c>
      <c r="H57" s="1">
        <f t="shared" si="2"/>
        <v>35261.300692800003</v>
      </c>
      <c r="I57" s="1">
        <f t="shared" si="3"/>
        <v>117954.41138898008</v>
      </c>
      <c r="J57">
        <v>42</v>
      </c>
      <c r="K57">
        <f t="shared" si="4"/>
        <v>0</v>
      </c>
      <c r="L57">
        <v>10.59985077</v>
      </c>
      <c r="M57" s="1">
        <f t="shared" si="5"/>
        <v>26499626.925000001</v>
      </c>
      <c r="N57" s="1">
        <f t="shared" si="6"/>
        <v>481811.39863636362</v>
      </c>
      <c r="O57" s="1">
        <f>M57/H57</f>
        <v>751.52153789979036</v>
      </c>
      <c r="P57" t="b">
        <v>1</v>
      </c>
      <c r="Q57">
        <f t="shared" si="7"/>
        <v>0</v>
      </c>
      <c r="R57" s="1">
        <f t="shared" si="8"/>
        <v>472000</v>
      </c>
      <c r="S57">
        <f t="shared" si="9"/>
        <v>0</v>
      </c>
      <c r="T57">
        <f t="shared" si="10"/>
        <v>1</v>
      </c>
    </row>
    <row r="58" spans="2:20">
      <c r="B58" t="s">
        <v>63</v>
      </c>
      <c r="C58">
        <v>11.229839999999999</v>
      </c>
      <c r="D58">
        <v>11</v>
      </c>
      <c r="E58">
        <v>120</v>
      </c>
      <c r="F58">
        <f t="shared" si="0"/>
        <v>131</v>
      </c>
      <c r="G58">
        <f t="shared" si="1"/>
        <v>1471.1090399999998</v>
      </c>
      <c r="H58" s="1">
        <f t="shared" si="2"/>
        <v>5398.9701767999995</v>
      </c>
      <c r="I58" s="1">
        <f t="shared" si="3"/>
        <v>3059.1186025354018</v>
      </c>
      <c r="J58">
        <v>33</v>
      </c>
      <c r="K58">
        <f t="shared" si="4"/>
        <v>0</v>
      </c>
      <c r="L58">
        <v>9.2680516359999991</v>
      </c>
      <c r="M58" s="1">
        <f t="shared" si="5"/>
        <v>23170129.089999996</v>
      </c>
      <c r="N58" s="1">
        <f t="shared" si="6"/>
        <v>421275.07436363632</v>
      </c>
      <c r="O58" s="1">
        <f>M58/H58</f>
        <v>4291.5830855233698</v>
      </c>
      <c r="P58" t="b">
        <v>1</v>
      </c>
      <c r="Q58">
        <f t="shared" si="7"/>
        <v>0</v>
      </c>
      <c r="R58" s="1">
        <f t="shared" si="8"/>
        <v>230000</v>
      </c>
      <c r="S58">
        <f t="shared" si="9"/>
        <v>0</v>
      </c>
      <c r="T58">
        <f t="shared" si="10"/>
        <v>1</v>
      </c>
    </row>
    <row r="59" spans="2:20">
      <c r="B59" t="s">
        <v>64</v>
      </c>
      <c r="C59">
        <v>11.202192</v>
      </c>
      <c r="D59">
        <v>9</v>
      </c>
      <c r="E59">
        <v>330</v>
      </c>
      <c r="F59">
        <f t="shared" si="0"/>
        <v>339</v>
      </c>
      <c r="G59">
        <f t="shared" si="1"/>
        <v>3797.5430879999999</v>
      </c>
      <c r="H59" s="1">
        <f t="shared" si="2"/>
        <v>13936.98313296</v>
      </c>
      <c r="I59" s="1">
        <f t="shared" si="3"/>
        <v>2626.5966022266857</v>
      </c>
      <c r="J59">
        <v>33</v>
      </c>
      <c r="K59">
        <f t="shared" si="4"/>
        <v>0</v>
      </c>
      <c r="L59">
        <v>13.936828050000001</v>
      </c>
      <c r="M59" s="1">
        <f t="shared" si="5"/>
        <v>34842070.125</v>
      </c>
      <c r="N59" s="1">
        <f t="shared" si="6"/>
        <v>633492.18409090908</v>
      </c>
      <c r="O59" s="1">
        <f>M59/H59</f>
        <v>2499.9721813970568</v>
      </c>
      <c r="P59" t="b">
        <v>1</v>
      </c>
      <c r="Q59">
        <f t="shared" si="7"/>
        <v>0</v>
      </c>
      <c r="R59" s="1">
        <f t="shared" si="8"/>
        <v>420000</v>
      </c>
      <c r="S59">
        <f t="shared" si="9"/>
        <v>0</v>
      </c>
      <c r="T59">
        <f t="shared" si="10"/>
        <v>1</v>
      </c>
    </row>
    <row r="60" spans="2:20">
      <c r="B60" t="s">
        <v>65</v>
      </c>
      <c r="C60">
        <v>219.344832</v>
      </c>
      <c r="D60">
        <v>21</v>
      </c>
      <c r="E60">
        <v>118</v>
      </c>
      <c r="F60">
        <f t="shared" si="0"/>
        <v>139</v>
      </c>
      <c r="G60">
        <f t="shared" si="1"/>
        <v>30488.931647999998</v>
      </c>
      <c r="H60" s="1">
        <f t="shared" si="2"/>
        <v>111894.37914815999</v>
      </c>
      <c r="I60" s="1">
        <f t="shared" si="3"/>
        <v>112853.0367191262</v>
      </c>
      <c r="J60">
        <v>51</v>
      </c>
      <c r="K60">
        <f t="shared" si="4"/>
        <v>0</v>
      </c>
      <c r="L60">
        <v>13.430988320000001</v>
      </c>
      <c r="M60" s="1">
        <f t="shared" si="5"/>
        <v>33577470.800000004</v>
      </c>
      <c r="N60" s="1">
        <f t="shared" si="6"/>
        <v>610499.46909090912</v>
      </c>
      <c r="O60" s="1">
        <f>M60/H60</f>
        <v>300.0818366000305</v>
      </c>
      <c r="P60" t="b">
        <v>1</v>
      </c>
      <c r="Q60">
        <f t="shared" si="7"/>
        <v>0</v>
      </c>
      <c r="R60" s="1">
        <f t="shared" si="8"/>
        <v>328000</v>
      </c>
      <c r="S60">
        <f t="shared" si="9"/>
        <v>0</v>
      </c>
      <c r="T60">
        <f t="shared" si="10"/>
        <v>1</v>
      </c>
    </row>
    <row r="61" spans="2:20">
      <c r="B61" t="s">
        <v>66</v>
      </c>
      <c r="C61">
        <v>219.36513600000001</v>
      </c>
      <c r="D61">
        <v>20</v>
      </c>
      <c r="E61">
        <v>141</v>
      </c>
      <c r="F61">
        <f t="shared" si="0"/>
        <v>161</v>
      </c>
      <c r="G61">
        <f t="shared" si="1"/>
        <v>35317.786895999998</v>
      </c>
      <c r="H61" s="1">
        <f t="shared" si="2"/>
        <v>129616.27790831999</v>
      </c>
      <c r="I61" s="1">
        <f t="shared" si="3"/>
        <v>107802.93262393794</v>
      </c>
      <c r="J61">
        <v>51</v>
      </c>
      <c r="K61">
        <f t="shared" si="4"/>
        <v>0</v>
      </c>
      <c r="L61">
        <v>11.387837680000001</v>
      </c>
      <c r="M61" s="1">
        <f t="shared" si="5"/>
        <v>28469594.200000003</v>
      </c>
      <c r="N61" s="1">
        <f t="shared" si="6"/>
        <v>517628.98545454553</v>
      </c>
      <c r="O61" s="1">
        <f>M61/H61</f>
        <v>219.64520706370752</v>
      </c>
      <c r="P61" t="b">
        <v>1</v>
      </c>
      <c r="Q61">
        <f t="shared" si="7"/>
        <v>0</v>
      </c>
      <c r="R61" s="1">
        <f t="shared" si="8"/>
        <v>341000</v>
      </c>
      <c r="S61">
        <f t="shared" si="9"/>
        <v>0</v>
      </c>
      <c r="T61">
        <f t="shared" si="10"/>
        <v>1</v>
      </c>
    </row>
    <row r="62" spans="2:20">
      <c r="B62" t="s">
        <v>67</v>
      </c>
      <c r="C62">
        <v>140.386032</v>
      </c>
      <c r="D62">
        <v>113</v>
      </c>
      <c r="E62">
        <v>1267</v>
      </c>
      <c r="F62">
        <f t="shared" si="0"/>
        <v>1380</v>
      </c>
      <c r="G62">
        <f t="shared" si="1"/>
        <v>193732.72416000001</v>
      </c>
      <c r="H62" s="1">
        <f t="shared" si="2"/>
        <v>710999.09766720003</v>
      </c>
      <c r="I62" s="1">
        <f t="shared" si="3"/>
        <v>393095.67798473436</v>
      </c>
      <c r="J62">
        <v>47</v>
      </c>
      <c r="K62">
        <f t="shared" si="4"/>
        <v>0</v>
      </c>
      <c r="L62">
        <v>21.15367427</v>
      </c>
      <c r="M62" s="1">
        <f t="shared" si="5"/>
        <v>52884185.674999997</v>
      </c>
      <c r="N62" s="1">
        <f t="shared" si="6"/>
        <v>961530.64863636356</v>
      </c>
      <c r="O62" s="1">
        <f>M62/H62</f>
        <v>74.380102377786272</v>
      </c>
      <c r="P62" t="b">
        <v>0</v>
      </c>
      <c r="Q62">
        <f t="shared" si="7"/>
        <v>0</v>
      </c>
      <c r="R62" s="1">
        <f t="shared" si="8"/>
        <v>2397000</v>
      </c>
      <c r="S62">
        <f t="shared" si="9"/>
        <v>0</v>
      </c>
      <c r="T62">
        <f t="shared" si="10"/>
        <v>0</v>
      </c>
    </row>
    <row r="63" spans="2:20">
      <c r="B63" t="s">
        <v>68</v>
      </c>
      <c r="C63">
        <v>626.80564800000002</v>
      </c>
      <c r="D63">
        <v>18</v>
      </c>
      <c r="E63">
        <v>11</v>
      </c>
      <c r="F63">
        <f t="shared" si="0"/>
        <v>29</v>
      </c>
      <c r="G63">
        <f t="shared" si="1"/>
        <v>18177.363792</v>
      </c>
      <c r="H63" s="1">
        <f t="shared" si="2"/>
        <v>66710.925116640006</v>
      </c>
      <c r="I63" s="1">
        <f t="shared" si="3"/>
        <v>273596.48370077991</v>
      </c>
      <c r="J63">
        <v>73</v>
      </c>
      <c r="K63">
        <f t="shared" si="4"/>
        <v>1</v>
      </c>
      <c r="L63">
        <v>11.31005159</v>
      </c>
      <c r="M63" s="1">
        <f t="shared" si="5"/>
        <v>28275128.975000001</v>
      </c>
      <c r="N63" s="1">
        <f t="shared" si="6"/>
        <v>514093.25409090909</v>
      </c>
      <c r="O63" s="1">
        <f>M63/H63</f>
        <v>423.84555341666533</v>
      </c>
      <c r="P63" t="b">
        <v>1</v>
      </c>
      <c r="Q63">
        <f t="shared" si="7"/>
        <v>0</v>
      </c>
      <c r="R63" s="1">
        <f t="shared" si="8"/>
        <v>191000</v>
      </c>
      <c r="S63">
        <f t="shared" si="9"/>
        <v>1</v>
      </c>
      <c r="T63">
        <f t="shared" si="10"/>
        <v>1</v>
      </c>
    </row>
    <row r="64" spans="2:20">
      <c r="B64" t="s">
        <v>69</v>
      </c>
      <c r="C64">
        <v>544.75991999999997</v>
      </c>
      <c r="D64">
        <v>4</v>
      </c>
      <c r="E64">
        <v>67</v>
      </c>
      <c r="F64">
        <f t="shared" si="0"/>
        <v>71</v>
      </c>
      <c r="G64">
        <f t="shared" si="1"/>
        <v>38677.954319999997</v>
      </c>
      <c r="H64" s="1">
        <f t="shared" si="2"/>
        <v>141948.0923544</v>
      </c>
      <c r="I64" s="1">
        <f t="shared" si="3"/>
        <v>54599.268583118755</v>
      </c>
      <c r="J64">
        <v>70</v>
      </c>
      <c r="K64">
        <f t="shared" si="4"/>
        <v>1</v>
      </c>
      <c r="L64">
        <v>3.8605375</v>
      </c>
      <c r="M64" s="1">
        <f t="shared" si="5"/>
        <v>9651343.75</v>
      </c>
      <c r="N64" s="1">
        <f t="shared" si="6"/>
        <v>175478.97727272726</v>
      </c>
      <c r="O64" s="1">
        <f>M64/H64</f>
        <v>67.992063788385494</v>
      </c>
      <c r="P64" t="b">
        <v>1</v>
      </c>
      <c r="Q64">
        <f t="shared" si="7"/>
        <v>0</v>
      </c>
      <c r="R64" s="1">
        <f t="shared" si="8"/>
        <v>107000</v>
      </c>
      <c r="S64">
        <f t="shared" si="9"/>
        <v>0</v>
      </c>
      <c r="T64">
        <f t="shared" si="10"/>
        <v>1</v>
      </c>
    </row>
    <row r="65" spans="2:20">
      <c r="B65" t="s">
        <v>70</v>
      </c>
      <c r="C65">
        <v>539.08243200000004</v>
      </c>
      <c r="D65">
        <v>6</v>
      </c>
      <c r="E65">
        <v>81</v>
      </c>
      <c r="F65">
        <f t="shared" si="0"/>
        <v>87</v>
      </c>
      <c r="G65">
        <f t="shared" si="1"/>
        <v>46900.171584000003</v>
      </c>
      <c r="H65" s="1">
        <f t="shared" si="2"/>
        <v>172123.62971328001</v>
      </c>
      <c r="I65" s="1">
        <f t="shared" si="3"/>
        <v>80519.747120615648</v>
      </c>
      <c r="J65">
        <v>70</v>
      </c>
      <c r="K65">
        <f t="shared" si="4"/>
        <v>1</v>
      </c>
      <c r="L65">
        <v>7.3940512280000004</v>
      </c>
      <c r="M65" s="1">
        <f t="shared" si="5"/>
        <v>18485128.07</v>
      </c>
      <c r="N65" s="1">
        <f t="shared" si="6"/>
        <v>336093.23763636366</v>
      </c>
      <c r="O65" s="1">
        <f>M65/H65</f>
        <v>107.39448209866445</v>
      </c>
      <c r="P65" t="b">
        <v>1</v>
      </c>
      <c r="Q65">
        <f t="shared" si="7"/>
        <v>0</v>
      </c>
      <c r="R65" s="1">
        <f t="shared" si="8"/>
        <v>141000</v>
      </c>
      <c r="S65">
        <f t="shared" si="9"/>
        <v>0</v>
      </c>
      <c r="T65">
        <f t="shared" si="10"/>
        <v>1</v>
      </c>
    </row>
    <row r="66" spans="2:20">
      <c r="B66" t="s">
        <v>71</v>
      </c>
      <c r="C66">
        <v>527.97859200000005</v>
      </c>
      <c r="D66">
        <v>15</v>
      </c>
      <c r="E66">
        <v>73</v>
      </c>
      <c r="F66">
        <f t="shared" si="0"/>
        <v>88</v>
      </c>
      <c r="G66">
        <f t="shared" si="1"/>
        <v>46462.116096000005</v>
      </c>
      <c r="H66" s="1">
        <f t="shared" si="2"/>
        <v>170515.96607232001</v>
      </c>
      <c r="I66" s="1">
        <f t="shared" si="3"/>
        <v>193734.4092298426</v>
      </c>
      <c r="J66">
        <v>58</v>
      </c>
      <c r="K66">
        <f t="shared" si="4"/>
        <v>1</v>
      </c>
      <c r="L66">
        <v>5.5713712280000003</v>
      </c>
      <c r="M66" s="1">
        <f t="shared" si="5"/>
        <v>13928428.07</v>
      </c>
      <c r="N66" s="1">
        <f t="shared" si="6"/>
        <v>253244.14672727275</v>
      </c>
      <c r="O66" s="1">
        <f>M66/H66</f>
        <v>81.68401112710238</v>
      </c>
      <c r="P66" t="b">
        <v>1</v>
      </c>
      <c r="Q66">
        <f t="shared" si="7"/>
        <v>0</v>
      </c>
      <c r="R66" s="1">
        <f t="shared" si="8"/>
        <v>223000</v>
      </c>
      <c r="S66">
        <f t="shared" si="9"/>
        <v>0</v>
      </c>
      <c r="T66">
        <f t="shared" si="10"/>
        <v>1</v>
      </c>
    </row>
    <row r="67" spans="2:20">
      <c r="B67" t="s">
        <v>72</v>
      </c>
      <c r="C67">
        <v>493.77513599999997</v>
      </c>
      <c r="D67">
        <v>30</v>
      </c>
      <c r="E67">
        <v>220</v>
      </c>
      <c r="F67">
        <f t="shared" ref="F67:F83" si="11">D67+E67</f>
        <v>250</v>
      </c>
      <c r="G67">
        <f t="shared" ref="G67:G83" si="12">F67*C67</f>
        <v>123443.784</v>
      </c>
      <c r="H67" s="1">
        <f t="shared" ref="H67:H83" si="13">3.67*G67</f>
        <v>453038.68728000001</v>
      </c>
      <c r="I67" s="1">
        <f t="shared" ref="I67:I83" si="14">C67*(D67*$D$87+E67*0.05)</f>
        <v>364194.82046849531</v>
      </c>
      <c r="J67">
        <v>62</v>
      </c>
      <c r="K67">
        <f t="shared" ref="K67:K83" si="15">IF(J67&gt;55,1,0)</f>
        <v>1</v>
      </c>
      <c r="L67">
        <v>12.285599639999999</v>
      </c>
      <c r="M67" s="1">
        <f t="shared" ref="M67:M83" si="16">L67*2500000</f>
        <v>30713999.099999998</v>
      </c>
      <c r="N67" s="1">
        <f t="shared" ref="N67:N83" si="17">M67/55</f>
        <v>558436.34727272729</v>
      </c>
      <c r="O67" s="1">
        <f>M67/H67</f>
        <v>67.795532616439104</v>
      </c>
      <c r="P67" t="b">
        <v>1</v>
      </c>
      <c r="Q67">
        <f t="shared" ref="Q67:Q83" si="18">IF(O67&lt;55,1,0)</f>
        <v>0</v>
      </c>
      <c r="R67" s="1">
        <f t="shared" ref="R67:R83" si="19">($A$2*E67+$A$4*D67)/$A$6</f>
        <v>520000</v>
      </c>
      <c r="S67">
        <f t="shared" ref="S67:S83" si="20">IF(R67&lt;I67,1,0)</f>
        <v>0</v>
      </c>
      <c r="T67">
        <f t="shared" ref="T67:T83" si="21">IF(R67&lt;N67,1,0)</f>
        <v>1</v>
      </c>
    </row>
    <row r="68" spans="2:20">
      <c r="B68" t="s">
        <v>73</v>
      </c>
      <c r="C68">
        <v>585.87638400000003</v>
      </c>
      <c r="D68">
        <v>11</v>
      </c>
      <c r="E68">
        <v>47</v>
      </c>
      <c r="F68">
        <f t="shared" si="11"/>
        <v>58</v>
      </c>
      <c r="G68">
        <f t="shared" si="12"/>
        <v>33980.830271999999</v>
      </c>
      <c r="H68" s="1">
        <f t="shared" si="13"/>
        <v>124709.64709823999</v>
      </c>
      <c r="I68" s="1">
        <f t="shared" si="14"/>
        <v>157460.02678492438</v>
      </c>
      <c r="J68">
        <v>70</v>
      </c>
      <c r="K68">
        <f t="shared" si="15"/>
        <v>1</v>
      </c>
      <c r="L68">
        <v>12.463725180000001</v>
      </c>
      <c r="M68" s="1">
        <f t="shared" si="16"/>
        <v>31159312.950000003</v>
      </c>
      <c r="N68" s="1">
        <f t="shared" si="17"/>
        <v>566532.96272727277</v>
      </c>
      <c r="O68" s="1">
        <f>M68/H68</f>
        <v>249.85487229752371</v>
      </c>
      <c r="P68" t="b">
        <v>1</v>
      </c>
      <c r="Q68">
        <f t="shared" si="18"/>
        <v>0</v>
      </c>
      <c r="R68" s="1">
        <f t="shared" si="19"/>
        <v>157000</v>
      </c>
      <c r="S68">
        <f t="shared" si="20"/>
        <v>1</v>
      </c>
      <c r="T68">
        <f t="shared" si="21"/>
        <v>1</v>
      </c>
    </row>
    <row r="69" spans="2:20">
      <c r="B69" t="s">
        <v>74</v>
      </c>
      <c r="C69">
        <v>255.75969599999999</v>
      </c>
      <c r="D69">
        <v>25</v>
      </c>
      <c r="E69">
        <v>210</v>
      </c>
      <c r="F69">
        <f t="shared" si="11"/>
        <v>235</v>
      </c>
      <c r="G69">
        <f t="shared" si="12"/>
        <v>60103.528559999999</v>
      </c>
      <c r="H69" s="1">
        <f t="shared" si="13"/>
        <v>220579.9498152</v>
      </c>
      <c r="I69" s="1">
        <f t="shared" si="14"/>
        <v>157542.05070260647</v>
      </c>
      <c r="J69">
        <v>54</v>
      </c>
      <c r="K69">
        <f t="shared" si="15"/>
        <v>0</v>
      </c>
      <c r="L69">
        <v>12.36568709</v>
      </c>
      <c r="M69" s="1">
        <f t="shared" si="16"/>
        <v>30914217.724999998</v>
      </c>
      <c r="N69" s="1">
        <f t="shared" si="17"/>
        <v>562076.68590909091</v>
      </c>
      <c r="O69" s="1">
        <f>M69/H69</f>
        <v>140.14971782748009</v>
      </c>
      <c r="P69" t="b">
        <v>1</v>
      </c>
      <c r="Q69">
        <f t="shared" si="18"/>
        <v>0</v>
      </c>
      <c r="R69" s="1">
        <f t="shared" si="19"/>
        <v>460000</v>
      </c>
      <c r="S69">
        <f t="shared" si="20"/>
        <v>0</v>
      </c>
      <c r="T69">
        <f t="shared" si="21"/>
        <v>1</v>
      </c>
    </row>
    <row r="70" spans="2:20">
      <c r="B70" t="s">
        <v>75</v>
      </c>
      <c r="C70">
        <v>246.064176</v>
      </c>
      <c r="D70">
        <v>37</v>
      </c>
      <c r="E70">
        <v>388</v>
      </c>
      <c r="F70">
        <f t="shared" si="11"/>
        <v>425</v>
      </c>
      <c r="G70">
        <f t="shared" si="12"/>
        <v>104577.2748</v>
      </c>
      <c r="H70" s="1">
        <f t="shared" si="13"/>
        <v>383798.59851599997</v>
      </c>
      <c r="I70" s="1">
        <f t="shared" si="14"/>
        <v>225273.16334064948</v>
      </c>
      <c r="J70">
        <v>68</v>
      </c>
      <c r="K70">
        <f t="shared" si="15"/>
        <v>1</v>
      </c>
      <c r="L70">
        <v>21.782867100000001</v>
      </c>
      <c r="M70" s="1">
        <f t="shared" si="16"/>
        <v>54457167.75</v>
      </c>
      <c r="N70" s="1">
        <f t="shared" si="17"/>
        <v>990130.32272727275</v>
      </c>
      <c r="O70" s="1">
        <f>M70/H70</f>
        <v>141.88995989189306</v>
      </c>
      <c r="P70" t="b">
        <v>0</v>
      </c>
      <c r="Q70">
        <f t="shared" si="18"/>
        <v>0</v>
      </c>
      <c r="R70" s="1">
        <f t="shared" si="19"/>
        <v>758000</v>
      </c>
      <c r="S70">
        <f t="shared" si="20"/>
        <v>0</v>
      </c>
      <c r="T70">
        <f t="shared" si="21"/>
        <v>1</v>
      </c>
    </row>
    <row r="71" spans="2:20">
      <c r="B71" t="s">
        <v>76</v>
      </c>
      <c r="C71">
        <v>246.33705599999999</v>
      </c>
      <c r="D71">
        <v>43</v>
      </c>
      <c r="E71">
        <v>142</v>
      </c>
      <c r="F71">
        <f t="shared" si="11"/>
        <v>185</v>
      </c>
      <c r="G71">
        <f t="shared" si="12"/>
        <v>45572.355360000001</v>
      </c>
      <c r="H71" s="1">
        <f t="shared" si="13"/>
        <v>167250.54417119999</v>
      </c>
      <c r="I71" s="1">
        <f t="shared" si="14"/>
        <v>258289.37280841792</v>
      </c>
      <c r="J71">
        <v>54</v>
      </c>
      <c r="K71">
        <f t="shared" si="15"/>
        <v>0</v>
      </c>
      <c r="L71">
        <v>14.021288090000001</v>
      </c>
      <c r="M71" s="1">
        <f t="shared" si="16"/>
        <v>35053220.225000001</v>
      </c>
      <c r="N71" s="1">
        <f t="shared" si="17"/>
        <v>637331.27681818185</v>
      </c>
      <c r="O71" s="1">
        <f>M71/H71</f>
        <v>209.58508923665465</v>
      </c>
      <c r="P71" t="b">
        <v>1</v>
      </c>
      <c r="Q71">
        <f t="shared" si="18"/>
        <v>0</v>
      </c>
      <c r="R71" s="1">
        <f t="shared" si="19"/>
        <v>572000</v>
      </c>
      <c r="S71">
        <f t="shared" si="20"/>
        <v>0</v>
      </c>
      <c r="T71">
        <f t="shared" si="21"/>
        <v>1</v>
      </c>
    </row>
    <row r="72" spans="2:20">
      <c r="B72" t="s">
        <v>77</v>
      </c>
      <c r="C72">
        <v>171.95400000000001</v>
      </c>
      <c r="D72">
        <v>43</v>
      </c>
      <c r="E72">
        <v>104</v>
      </c>
      <c r="F72">
        <f t="shared" si="11"/>
        <v>147</v>
      </c>
      <c r="G72">
        <f t="shared" si="12"/>
        <v>25277.238000000001</v>
      </c>
      <c r="H72" s="1">
        <f t="shared" si="13"/>
        <v>92767.463459999999</v>
      </c>
      <c r="I72" s="1">
        <f t="shared" si="14"/>
        <v>179970.52539207338</v>
      </c>
      <c r="J72">
        <v>43</v>
      </c>
      <c r="K72">
        <f t="shared" si="15"/>
        <v>0</v>
      </c>
      <c r="L72">
        <v>13.55134964</v>
      </c>
      <c r="M72" s="1">
        <f t="shared" si="16"/>
        <v>33878374.100000001</v>
      </c>
      <c r="N72" s="1">
        <f t="shared" si="17"/>
        <v>615970.43818181823</v>
      </c>
      <c r="O72" s="1">
        <f>M72/H72</f>
        <v>365.19672777953957</v>
      </c>
      <c r="P72" t="b">
        <v>1</v>
      </c>
      <c r="Q72">
        <f t="shared" si="18"/>
        <v>0</v>
      </c>
      <c r="R72" s="1">
        <f t="shared" si="19"/>
        <v>534000</v>
      </c>
      <c r="S72">
        <f t="shared" si="20"/>
        <v>0</v>
      </c>
      <c r="T72">
        <f t="shared" si="21"/>
        <v>1</v>
      </c>
    </row>
    <row r="73" spans="2:20">
      <c r="B73" t="s">
        <v>78</v>
      </c>
      <c r="C73">
        <v>178.21655999999999</v>
      </c>
      <c r="D73">
        <v>22</v>
      </c>
      <c r="E73">
        <v>76</v>
      </c>
      <c r="F73">
        <f t="shared" si="11"/>
        <v>98</v>
      </c>
      <c r="G73">
        <f t="shared" si="12"/>
        <v>17465.222879999998</v>
      </c>
      <c r="H73" s="1">
        <f t="shared" si="13"/>
        <v>64097.367969599989</v>
      </c>
      <c r="I73" s="1">
        <f t="shared" si="14"/>
        <v>95634.50339699407</v>
      </c>
      <c r="J73">
        <v>43</v>
      </c>
      <c r="K73">
        <f t="shared" si="15"/>
        <v>0</v>
      </c>
      <c r="L73">
        <v>9.5251139550000001</v>
      </c>
      <c r="M73" s="1">
        <f t="shared" si="16"/>
        <v>23812784.887499999</v>
      </c>
      <c r="N73" s="1">
        <f t="shared" si="17"/>
        <v>432959.72522727272</v>
      </c>
      <c r="O73" s="1">
        <f>M73/H73</f>
        <v>371.50955868880442</v>
      </c>
      <c r="P73" t="b">
        <v>1</v>
      </c>
      <c r="Q73">
        <f t="shared" si="18"/>
        <v>0</v>
      </c>
      <c r="R73" s="1">
        <f t="shared" si="19"/>
        <v>296000</v>
      </c>
      <c r="S73">
        <f t="shared" si="20"/>
        <v>0</v>
      </c>
      <c r="T73">
        <f t="shared" si="21"/>
        <v>1</v>
      </c>
    </row>
    <row r="74" spans="2:20">
      <c r="B74" t="s">
        <v>79</v>
      </c>
      <c r="C74">
        <v>10.960704</v>
      </c>
      <c r="D74">
        <v>21</v>
      </c>
      <c r="E74">
        <v>27</v>
      </c>
      <c r="F74">
        <f t="shared" si="11"/>
        <v>48</v>
      </c>
      <c r="G74">
        <f t="shared" si="12"/>
        <v>526.11379199999999</v>
      </c>
      <c r="H74" s="1">
        <f t="shared" si="13"/>
        <v>1930.8376166399999</v>
      </c>
      <c r="I74" s="1">
        <f t="shared" si="14"/>
        <v>5589.4170339601696</v>
      </c>
      <c r="J74">
        <v>38</v>
      </c>
      <c r="K74">
        <f t="shared" si="15"/>
        <v>0</v>
      </c>
      <c r="L74">
        <v>5.5849492720000002</v>
      </c>
      <c r="M74" s="1">
        <f t="shared" si="16"/>
        <v>13962373.18</v>
      </c>
      <c r="N74" s="1">
        <f t="shared" si="17"/>
        <v>253861.33054545455</v>
      </c>
      <c r="O74" s="1">
        <f>M74/H74</f>
        <v>7231.2518979700671</v>
      </c>
      <c r="P74" t="b">
        <v>0</v>
      </c>
      <c r="Q74">
        <f t="shared" si="18"/>
        <v>0</v>
      </c>
      <c r="R74" s="1">
        <f t="shared" si="19"/>
        <v>237000</v>
      </c>
      <c r="S74">
        <f t="shared" si="20"/>
        <v>0</v>
      </c>
      <c r="T74">
        <f t="shared" si="21"/>
        <v>1</v>
      </c>
    </row>
    <row r="75" spans="2:20">
      <c r="B75" t="s">
        <v>80</v>
      </c>
      <c r="D75">
        <v>0</v>
      </c>
      <c r="E75">
        <v>0</v>
      </c>
      <c r="F75">
        <f t="shared" si="11"/>
        <v>0</v>
      </c>
      <c r="G75">
        <f t="shared" si="12"/>
        <v>0</v>
      </c>
      <c r="H75" s="1">
        <f t="shared" si="13"/>
        <v>0</v>
      </c>
      <c r="I75" s="1">
        <f t="shared" si="14"/>
        <v>0</v>
      </c>
      <c r="J75">
        <v>54</v>
      </c>
      <c r="K75">
        <f t="shared" si="15"/>
        <v>0</v>
      </c>
      <c r="L75">
        <v>0.180426909</v>
      </c>
      <c r="M75" s="1">
        <f t="shared" si="16"/>
        <v>451067.27249999996</v>
      </c>
      <c r="N75" s="1">
        <f t="shared" si="17"/>
        <v>8201.2231363636365</v>
      </c>
      <c r="O75" s="1"/>
      <c r="P75" t="b">
        <v>1</v>
      </c>
      <c r="R75" s="1">
        <f t="shared" si="19"/>
        <v>0</v>
      </c>
      <c r="S75">
        <f t="shared" si="20"/>
        <v>0</v>
      </c>
      <c r="T75">
        <f t="shared" si="21"/>
        <v>1</v>
      </c>
    </row>
    <row r="76" spans="2:20">
      <c r="B76" t="s">
        <v>81</v>
      </c>
      <c r="C76">
        <v>177.273504</v>
      </c>
      <c r="D76">
        <v>117</v>
      </c>
      <c r="E76">
        <v>263</v>
      </c>
      <c r="F76">
        <f t="shared" si="11"/>
        <v>380</v>
      </c>
      <c r="G76">
        <f t="shared" si="12"/>
        <v>67363.931519999998</v>
      </c>
      <c r="H76" s="1">
        <f t="shared" si="13"/>
        <v>247225.62867839998</v>
      </c>
      <c r="I76" s="1">
        <f t="shared" si="14"/>
        <v>504658.95575557515</v>
      </c>
      <c r="J76">
        <v>50</v>
      </c>
      <c r="K76">
        <f t="shared" si="15"/>
        <v>0</v>
      </c>
      <c r="L76">
        <v>7.6831025000000004</v>
      </c>
      <c r="M76" s="1">
        <f t="shared" si="16"/>
        <v>19207756.25</v>
      </c>
      <c r="N76" s="1">
        <f t="shared" si="17"/>
        <v>349231.93181818182</v>
      </c>
      <c r="O76" s="1">
        <f>M76/H76</f>
        <v>77.693224414796177</v>
      </c>
      <c r="P76" t="b">
        <v>1</v>
      </c>
      <c r="Q76">
        <f t="shared" si="18"/>
        <v>0</v>
      </c>
      <c r="R76" s="1">
        <f t="shared" si="19"/>
        <v>1433000</v>
      </c>
      <c r="S76">
        <f t="shared" si="20"/>
        <v>0</v>
      </c>
      <c r="T76">
        <f t="shared" si="21"/>
        <v>0</v>
      </c>
    </row>
    <row r="77" spans="2:20">
      <c r="B77" t="s">
        <v>82</v>
      </c>
      <c r="C77">
        <v>157.508352</v>
      </c>
      <c r="D77">
        <v>9</v>
      </c>
      <c r="E77">
        <v>57</v>
      </c>
      <c r="F77">
        <f t="shared" si="11"/>
        <v>66</v>
      </c>
      <c r="G77">
        <f t="shared" si="12"/>
        <v>10395.551232</v>
      </c>
      <c r="H77" s="1">
        <f t="shared" si="13"/>
        <v>38151.673021440001</v>
      </c>
      <c r="I77" s="1">
        <f t="shared" si="14"/>
        <v>34781.256432300594</v>
      </c>
      <c r="J77">
        <v>47</v>
      </c>
      <c r="K77">
        <f t="shared" si="15"/>
        <v>0</v>
      </c>
      <c r="L77">
        <v>7.8789485450000001</v>
      </c>
      <c r="M77" s="1">
        <f t="shared" si="16"/>
        <v>19697371.362500001</v>
      </c>
      <c r="N77" s="1">
        <f t="shared" si="17"/>
        <v>358134.02477272728</v>
      </c>
      <c r="O77" s="1">
        <f>M77/H77</f>
        <v>516.29115586702369</v>
      </c>
      <c r="P77" t="b">
        <v>1</v>
      </c>
      <c r="Q77">
        <f t="shared" si="18"/>
        <v>0</v>
      </c>
      <c r="R77" s="1">
        <f t="shared" si="19"/>
        <v>147000</v>
      </c>
      <c r="S77">
        <f t="shared" si="20"/>
        <v>0</v>
      </c>
      <c r="T77">
        <f t="shared" si="21"/>
        <v>1</v>
      </c>
    </row>
    <row r="78" spans="2:20">
      <c r="B78" t="s">
        <v>83</v>
      </c>
      <c r="C78">
        <v>169.12871999999999</v>
      </c>
      <c r="D78">
        <v>11</v>
      </c>
      <c r="E78">
        <v>61</v>
      </c>
      <c r="F78">
        <f t="shared" si="11"/>
        <v>72</v>
      </c>
      <c r="G78">
        <f t="shared" si="12"/>
        <v>12177.267839999999</v>
      </c>
      <c r="H78" s="1">
        <f t="shared" si="13"/>
        <v>44690.572972799993</v>
      </c>
      <c r="I78" s="1">
        <f t="shared" si="14"/>
        <v>45573.393085140764</v>
      </c>
      <c r="J78">
        <v>50</v>
      </c>
      <c r="K78">
        <f t="shared" si="15"/>
        <v>0</v>
      </c>
      <c r="L78">
        <v>6.2060873169999997</v>
      </c>
      <c r="M78" s="1">
        <f t="shared" si="16"/>
        <v>15515218.292499999</v>
      </c>
      <c r="N78" s="1">
        <f t="shared" si="17"/>
        <v>282094.8780454545</v>
      </c>
      <c r="O78" s="1">
        <f>M78/H78</f>
        <v>347.16982263671179</v>
      </c>
      <c r="P78" t="b">
        <v>0</v>
      </c>
      <c r="Q78">
        <f t="shared" si="18"/>
        <v>0</v>
      </c>
      <c r="R78" s="1">
        <f t="shared" si="19"/>
        <v>171000</v>
      </c>
      <c r="S78">
        <f t="shared" si="20"/>
        <v>0</v>
      </c>
      <c r="T78">
        <f t="shared" si="21"/>
        <v>1</v>
      </c>
    </row>
    <row r="79" spans="2:20">
      <c r="B79" t="s">
        <v>84</v>
      </c>
      <c r="C79">
        <v>623.44483200000002</v>
      </c>
      <c r="D79">
        <v>0</v>
      </c>
      <c r="E79">
        <v>1</v>
      </c>
      <c r="F79">
        <f t="shared" si="11"/>
        <v>1</v>
      </c>
      <c r="G79">
        <f t="shared" si="12"/>
        <v>623.44483200000002</v>
      </c>
      <c r="H79" s="1">
        <f t="shared" si="13"/>
        <v>2288.0425334400002</v>
      </c>
      <c r="I79" s="1">
        <f t="shared" si="14"/>
        <v>31.172241600000003</v>
      </c>
      <c r="J79">
        <v>55</v>
      </c>
      <c r="K79">
        <f t="shared" si="15"/>
        <v>0</v>
      </c>
      <c r="L79">
        <v>3.8662909000000002E-2</v>
      </c>
      <c r="M79" s="1">
        <f t="shared" si="16"/>
        <v>96657.272500000006</v>
      </c>
      <c r="N79" s="1">
        <f t="shared" si="17"/>
        <v>1757.4049545454548</v>
      </c>
      <c r="O79" s="1">
        <f>M79/H79</f>
        <v>42.244526090465122</v>
      </c>
      <c r="P79" t="b">
        <v>1</v>
      </c>
      <c r="Q79">
        <f t="shared" si="18"/>
        <v>1</v>
      </c>
      <c r="R79" s="1">
        <f t="shared" si="19"/>
        <v>1000</v>
      </c>
      <c r="S79">
        <f t="shared" si="20"/>
        <v>0</v>
      </c>
      <c r="T79">
        <f t="shared" si="21"/>
        <v>1</v>
      </c>
    </row>
    <row r="80" spans="2:20">
      <c r="B80" t="s">
        <v>85</v>
      </c>
      <c r="C80">
        <v>180.33912000000001</v>
      </c>
      <c r="D80">
        <v>16</v>
      </c>
      <c r="E80">
        <v>108</v>
      </c>
      <c r="F80">
        <f t="shared" si="11"/>
        <v>124</v>
      </c>
      <c r="G80">
        <f t="shared" si="12"/>
        <v>22362.050880000003</v>
      </c>
      <c r="H80" s="1">
        <f t="shared" si="13"/>
        <v>82068.726729600006</v>
      </c>
      <c r="I80" s="1">
        <f t="shared" si="14"/>
        <v>70856.17458608294</v>
      </c>
      <c r="J80">
        <v>47</v>
      </c>
      <c r="K80">
        <f t="shared" si="15"/>
        <v>0</v>
      </c>
      <c r="L80">
        <v>3.3314539999999999</v>
      </c>
      <c r="M80" s="1">
        <f t="shared" si="16"/>
        <v>8328635</v>
      </c>
      <c r="N80" s="1">
        <f t="shared" si="17"/>
        <v>151429.72727272726</v>
      </c>
      <c r="O80" s="1">
        <f>M80/H80</f>
        <v>101.48366292365156</v>
      </c>
      <c r="P80" t="b">
        <v>0</v>
      </c>
      <c r="Q80">
        <f t="shared" si="18"/>
        <v>0</v>
      </c>
      <c r="R80" s="1">
        <f t="shared" si="19"/>
        <v>268000</v>
      </c>
      <c r="S80">
        <f t="shared" si="20"/>
        <v>0</v>
      </c>
      <c r="T80">
        <f t="shared" si="21"/>
        <v>0</v>
      </c>
    </row>
    <row r="81" spans="2:20">
      <c r="B81" t="s">
        <v>86</v>
      </c>
      <c r="C81">
        <v>593.97047999999995</v>
      </c>
      <c r="D81">
        <v>17</v>
      </c>
      <c r="E81">
        <v>153</v>
      </c>
      <c r="F81">
        <f t="shared" si="11"/>
        <v>170</v>
      </c>
      <c r="G81">
        <f t="shared" si="12"/>
        <v>100974.9816</v>
      </c>
      <c r="H81" s="1">
        <f t="shared" si="13"/>
        <v>370578.18247200001</v>
      </c>
      <c r="I81" s="1">
        <f t="shared" si="14"/>
        <v>249095.92743448011</v>
      </c>
      <c r="J81">
        <v>55</v>
      </c>
      <c r="K81">
        <f t="shared" si="15"/>
        <v>0</v>
      </c>
      <c r="L81">
        <v>4.8245787269999996</v>
      </c>
      <c r="M81" s="1">
        <f t="shared" si="16"/>
        <v>12061446.817499999</v>
      </c>
      <c r="N81" s="1">
        <f t="shared" si="17"/>
        <v>219299.03304545453</v>
      </c>
      <c r="O81" s="1">
        <f>M81/H81</f>
        <v>32.547644162541417</v>
      </c>
      <c r="P81" t="b">
        <v>1</v>
      </c>
      <c r="Q81">
        <f t="shared" si="18"/>
        <v>1</v>
      </c>
      <c r="R81" s="1">
        <f t="shared" si="19"/>
        <v>323000</v>
      </c>
      <c r="S81">
        <f t="shared" si="20"/>
        <v>0</v>
      </c>
      <c r="T81">
        <f t="shared" si="21"/>
        <v>0</v>
      </c>
    </row>
    <row r="82" spans="2:20">
      <c r="B82" t="s">
        <v>87</v>
      </c>
      <c r="C82">
        <v>181.70668800000001</v>
      </c>
      <c r="D82">
        <v>7</v>
      </c>
      <c r="E82">
        <v>71</v>
      </c>
      <c r="F82">
        <f t="shared" si="11"/>
        <v>78</v>
      </c>
      <c r="G82">
        <f t="shared" si="12"/>
        <v>14173.121664</v>
      </c>
      <c r="H82" s="1">
        <f t="shared" si="13"/>
        <v>52015.356506880002</v>
      </c>
      <c r="I82" s="1">
        <f t="shared" si="14"/>
        <v>31450.432565164239</v>
      </c>
      <c r="J82">
        <v>54</v>
      </c>
      <c r="K82">
        <f t="shared" si="15"/>
        <v>0</v>
      </c>
      <c r="L82">
        <v>3.8782580000000002</v>
      </c>
      <c r="M82" s="1">
        <f t="shared" si="16"/>
        <v>9695645</v>
      </c>
      <c r="N82" s="1">
        <f t="shared" si="17"/>
        <v>176284.45454545456</v>
      </c>
      <c r="O82" s="1">
        <f>M82/H82</f>
        <v>186.39966446673435</v>
      </c>
      <c r="P82" t="b">
        <v>0</v>
      </c>
      <c r="Q82">
        <f t="shared" si="18"/>
        <v>0</v>
      </c>
      <c r="R82" s="1">
        <f t="shared" si="19"/>
        <v>141000</v>
      </c>
      <c r="S82">
        <f t="shared" si="20"/>
        <v>0</v>
      </c>
      <c r="T82">
        <f t="shared" si="21"/>
        <v>1</v>
      </c>
    </row>
    <row r="83" spans="2:20">
      <c r="B83" t="s">
        <v>88</v>
      </c>
      <c r="C83">
        <v>131.96966399999999</v>
      </c>
      <c r="D83">
        <v>6</v>
      </c>
      <c r="E83">
        <v>24</v>
      </c>
      <c r="F83">
        <f t="shared" si="11"/>
        <v>30</v>
      </c>
      <c r="G83">
        <f t="shared" si="12"/>
        <v>3959.0899199999999</v>
      </c>
      <c r="H83" s="1">
        <f t="shared" si="13"/>
        <v>14529.8600064</v>
      </c>
      <c r="I83" s="1">
        <f t="shared" si="14"/>
        <v>19335.461797663414</v>
      </c>
      <c r="J83">
        <v>47</v>
      </c>
      <c r="K83">
        <f t="shared" si="15"/>
        <v>0</v>
      </c>
      <c r="L83">
        <v>4.1192107719999997</v>
      </c>
      <c r="M83" s="1">
        <f t="shared" si="16"/>
        <v>10298026.93</v>
      </c>
      <c r="N83" s="1">
        <f t="shared" si="17"/>
        <v>187236.85327272725</v>
      </c>
      <c r="O83" s="1">
        <f>M83/H83</f>
        <v>708.7492188819441</v>
      </c>
      <c r="P83" t="b">
        <v>0</v>
      </c>
      <c r="Q83">
        <f t="shared" si="18"/>
        <v>0</v>
      </c>
      <c r="R83" s="1">
        <f t="shared" si="19"/>
        <v>84000</v>
      </c>
      <c r="S83">
        <f t="shared" si="20"/>
        <v>0</v>
      </c>
      <c r="T83">
        <f t="shared" si="21"/>
        <v>1</v>
      </c>
    </row>
    <row r="84" spans="2:20">
      <c r="H84" s="1"/>
      <c r="I84" s="1"/>
    </row>
    <row r="85" spans="2:20">
      <c r="B85" t="s">
        <v>89</v>
      </c>
      <c r="C85">
        <f>SUM(C2:C83)</f>
        <v>21627.153504000009</v>
      </c>
      <c r="D85">
        <f>SUM(D2:D83)</f>
        <v>2127</v>
      </c>
      <c r="E85">
        <f>SUM(E2:E83)</f>
        <v>12074</v>
      </c>
      <c r="F85">
        <f>SUM(F2:F83)</f>
        <v>14201</v>
      </c>
      <c r="G85" s="3">
        <f>SUM(G2:G83)</f>
        <v>3245092.796591999</v>
      </c>
      <c r="H85" s="1">
        <f>SUM(H2:H83)</f>
        <v>11909490.563492637</v>
      </c>
      <c r="I85" s="1">
        <f>SUM(I2:I83)</f>
        <v>12835218.490303628</v>
      </c>
      <c r="K85">
        <f>SUM(K2:K83)</f>
        <v>26</v>
      </c>
      <c r="L85">
        <f>SUM(L2:L83)</f>
        <v>860.73278349299983</v>
      </c>
      <c r="M85" s="1">
        <f>SUM(M2:M83)</f>
        <v>2151831958.7325001</v>
      </c>
      <c r="N85" s="1">
        <f>SUM(N2:N83)</f>
        <v>39124217.431499995</v>
      </c>
      <c r="O85" s="2">
        <f>M85/I85</f>
        <v>167.65059047168558</v>
      </c>
      <c r="Q85" s="1">
        <f>SUM(Q2:Q83)</f>
        <v>5</v>
      </c>
      <c r="R85" s="1">
        <f>SUM(R2:R83)</f>
        <v>33344000</v>
      </c>
      <c r="S85" s="1">
        <f>SUM(S2:S83)</f>
        <v>3</v>
      </c>
      <c r="T85" s="1">
        <f>SUM(T2:T83)</f>
        <v>68</v>
      </c>
    </row>
    <row r="87" spans="2:20">
      <c r="C87" t="s">
        <v>92</v>
      </c>
      <c r="D87" s="2">
        <f>(3.67-0.05*E85/F85)*F85/D85</f>
        <v>24.219073812881994</v>
      </c>
      <c r="E87" t="s">
        <v>93</v>
      </c>
      <c r="H87" s="1"/>
      <c r="I87" s="1"/>
    </row>
    <row r="88" spans="2:20">
      <c r="E88" t="s">
        <v>95</v>
      </c>
      <c r="H88" s="2"/>
      <c r="I88" s="2"/>
    </row>
    <row r="89" spans="2:20">
      <c r="H89" s="2"/>
      <c r="I89" s="2"/>
    </row>
    <row r="90" spans="2:20">
      <c r="H90" s="2"/>
      <c r="I90" s="2"/>
    </row>
    <row r="91" spans="2:20">
      <c r="H91" s="2"/>
      <c r="I9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MGRA-SDGE-002_Attach_Q3a_19501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Mitchell</dc:creator>
  <cp:lastModifiedBy>Joseph Mitchell</cp:lastModifiedBy>
  <dcterms:created xsi:type="dcterms:W3CDTF">2025-10-27T21:15:15Z</dcterms:created>
  <dcterms:modified xsi:type="dcterms:W3CDTF">2025-11-12T19:31:05Z</dcterms:modified>
</cp:coreProperties>
</file>