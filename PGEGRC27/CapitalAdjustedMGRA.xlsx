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wm/Work/WEEDS/Calculations/Workpapers/PGEGRC27/"/>
    </mc:Choice>
  </mc:AlternateContent>
  <xr:revisionPtr revIDLastSave="0" documentId="8_{1503E5B6-7958-594B-8657-12A520A2BCF8}" xr6:coauthVersionLast="47" xr6:coauthVersionMax="47" xr10:uidLastSave="{00000000-0000-0000-0000-000000000000}"/>
  <bookViews>
    <workbookView xWindow="8460" yWindow="8660" windowWidth="22840" windowHeight="10940" activeTab="1" xr2:uid="{8A3335EB-F67C-DD47-854C-C8FAB06E4592}"/>
  </bookViews>
  <sheets>
    <sheet name="Input" sheetId="1" r:id="rId1"/>
    <sheet name="Adjustment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2" l="1"/>
  <c r="E15" i="2"/>
  <c r="D15" i="2"/>
  <c r="C15" i="2"/>
  <c r="B15" i="2"/>
  <c r="F14" i="2"/>
  <c r="E14" i="2"/>
  <c r="D14" i="2"/>
  <c r="C14" i="2"/>
  <c r="B14" i="2"/>
  <c r="F13" i="2"/>
  <c r="E13" i="2"/>
  <c r="D13" i="2"/>
  <c r="C13" i="2"/>
  <c r="B13" i="2"/>
  <c r="F10" i="2"/>
  <c r="E10" i="2"/>
  <c r="D10" i="2"/>
  <c r="C10" i="2"/>
  <c r="B10" i="2"/>
  <c r="F9" i="2"/>
  <c r="E9" i="2"/>
  <c r="D9" i="2"/>
  <c r="C9" i="2"/>
  <c r="B9" i="2"/>
  <c r="F8" i="2"/>
  <c r="E8" i="2"/>
  <c r="D8" i="2"/>
  <c r="C8" i="2"/>
  <c r="B8" i="2"/>
  <c r="F5" i="2"/>
  <c r="F4" i="2"/>
  <c r="F3" i="2"/>
  <c r="F4" i="1"/>
  <c r="F3" i="1"/>
  <c r="F2" i="1"/>
  <c r="E3" i="2"/>
  <c r="D3" i="2"/>
  <c r="C3" i="2"/>
  <c r="B3" i="2"/>
  <c r="E4" i="1"/>
  <c r="D4" i="1"/>
  <c r="C4" i="1"/>
  <c r="B4" i="1"/>
  <c r="C4" i="2" l="1"/>
  <c r="C5" i="2" s="1"/>
  <c r="B4" i="2"/>
  <c r="B5" i="2" s="1"/>
  <c r="D4" i="2"/>
  <c r="D5" i="2" s="1"/>
  <c r="E4" i="2"/>
  <c r="E5" i="2" s="1"/>
</calcChain>
</file>

<file path=xl/sharedStrings.xml><?xml version="1.0" encoding="utf-8"?>
<sst xmlns="http://schemas.openxmlformats.org/spreadsheetml/2006/main" count="23" uniqueCount="12">
  <si>
    <t>Undergrounding</t>
  </si>
  <si>
    <t>Overhead</t>
  </si>
  <si>
    <t>Subtotal</t>
  </si>
  <si>
    <t>MAT 08W/3UG ($k)</t>
  </si>
  <si>
    <t>Comment</t>
  </si>
  <si>
    <t>50% UG to OH</t>
  </si>
  <si>
    <t>Step 1</t>
  </si>
  <si>
    <t>Total</t>
  </si>
  <si>
    <t>Step 2A</t>
  </si>
  <si>
    <t>For GRC</t>
  </si>
  <si>
    <t>Step 2B</t>
  </si>
  <si>
    <t>Balancing 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</si>
</sst>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70" formatCode="_(* #,##0_);_(* \(#,##0\);_(* &quot;-&quot;??_);_(@_)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170" fontId="0" fillId="0" borderId="0" xfId="1" applyNumberFormat="1" applyFont="1"/>
    <xf numFmtId="170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3C92B-F80E-0844-9F4B-55A61C12C1B7}">
  <dimension ref="A1:F4"/>
  <sheetViews>
    <sheetView workbookViewId="0">
      <selection activeCell="F2" sqref="F2:F4"/>
    </sheetView>
  </sheetViews>
  <sheetFormatPr baseColWidth="10" defaultRowHeight="16" x14ac:dyDescent="0.2"/>
  <cols>
    <col min="1" max="1" width="18.5" customWidth="1"/>
    <col min="2" max="5" width="12.5" bestFit="1" customWidth="1"/>
  </cols>
  <sheetData>
    <row r="1" spans="1:6" ht="19" x14ac:dyDescent="0.25">
      <c r="A1" s="1" t="s">
        <v>3</v>
      </c>
      <c r="B1">
        <v>2027</v>
      </c>
      <c r="C1">
        <v>2028</v>
      </c>
      <c r="D1">
        <v>2029</v>
      </c>
      <c r="E1">
        <v>2030</v>
      </c>
      <c r="F1" s="2" t="s">
        <v>7</v>
      </c>
    </row>
    <row r="2" spans="1:6" x14ac:dyDescent="0.2">
      <c r="A2" t="s">
        <v>0</v>
      </c>
      <c r="B2" s="3">
        <v>732425</v>
      </c>
      <c r="C2" s="3">
        <v>64765</v>
      </c>
      <c r="D2" s="3">
        <v>0</v>
      </c>
      <c r="E2" s="3">
        <v>0</v>
      </c>
      <c r="F2" s="4">
        <f>SUM(B2:E2)</f>
        <v>797190</v>
      </c>
    </row>
    <row r="3" spans="1:6" x14ac:dyDescent="0.2">
      <c r="A3" t="s">
        <v>1</v>
      </c>
      <c r="B3" s="3">
        <v>197282</v>
      </c>
      <c r="C3" s="3">
        <v>197487</v>
      </c>
      <c r="D3" s="3">
        <v>204130</v>
      </c>
      <c r="E3" s="3">
        <v>264630</v>
      </c>
      <c r="F3" s="4">
        <f t="shared" ref="F3:F4" si="0">SUM(B3:E3)</f>
        <v>863529</v>
      </c>
    </row>
    <row r="4" spans="1:6" x14ac:dyDescent="0.2">
      <c r="A4" s="2" t="s">
        <v>2</v>
      </c>
      <c r="B4" s="3">
        <f>SUM(B2:B3)</f>
        <v>929707</v>
      </c>
      <c r="C4" s="3">
        <f t="shared" ref="C4:E4" si="1">SUM(C2:C3)</f>
        <v>262252</v>
      </c>
      <c r="D4" s="3">
        <f t="shared" si="1"/>
        <v>204130</v>
      </c>
      <c r="E4" s="3">
        <f t="shared" si="1"/>
        <v>264630</v>
      </c>
      <c r="F4" s="4">
        <f t="shared" si="0"/>
        <v>1660719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6D32C-CA5E-0249-BA4E-2BAB599BB6C2}">
  <dimension ref="A1:G17"/>
  <sheetViews>
    <sheetView tabSelected="1" workbookViewId="0">
      <selection activeCell="A8" sqref="A8:F10"/>
    </sheetView>
  </sheetViews>
  <sheetFormatPr baseColWidth="10" defaultRowHeight="16" x14ac:dyDescent="0.2"/>
  <cols>
    <col min="1" max="1" width="21" customWidth="1"/>
    <col min="2" max="2" width="11.5" bestFit="1" customWidth="1"/>
    <col min="7" max="7" width="16.83203125" customWidth="1"/>
  </cols>
  <sheetData>
    <row r="1" spans="1:7" ht="19" x14ac:dyDescent="0.25">
      <c r="A1" s="1" t="s">
        <v>3</v>
      </c>
      <c r="B1">
        <v>2027</v>
      </c>
      <c r="C1">
        <v>2028</v>
      </c>
      <c r="D1">
        <v>2029</v>
      </c>
      <c r="E1">
        <v>2030</v>
      </c>
      <c r="F1" s="2" t="s">
        <v>7</v>
      </c>
      <c r="G1" t="s">
        <v>4</v>
      </c>
    </row>
    <row r="2" spans="1:7" x14ac:dyDescent="0.2">
      <c r="A2" s="2" t="s">
        <v>6</v>
      </c>
      <c r="G2" t="s">
        <v>5</v>
      </c>
    </row>
    <row r="3" spans="1:7" x14ac:dyDescent="0.2">
      <c r="A3" t="s">
        <v>0</v>
      </c>
      <c r="B3" s="3">
        <f>0.5*Input!B2</f>
        <v>366212.5</v>
      </c>
      <c r="C3" s="3">
        <f>0.5*Input!C2</f>
        <v>32382.5</v>
      </c>
      <c r="D3" s="3">
        <f>0.5*Input!D2</f>
        <v>0</v>
      </c>
      <c r="E3" s="3">
        <f>0.5*Input!E2</f>
        <v>0</v>
      </c>
      <c r="F3" s="4">
        <f>SUM(B3:E3)</f>
        <v>398595</v>
      </c>
    </row>
    <row r="4" spans="1:7" x14ac:dyDescent="0.2">
      <c r="A4" t="s">
        <v>1</v>
      </c>
      <c r="B4" s="3">
        <f>B3/3+Input!B3</f>
        <v>319352.83333333331</v>
      </c>
      <c r="C4" s="3">
        <f>C3/3+Input!C3</f>
        <v>208281.16666666666</v>
      </c>
      <c r="D4" s="3">
        <f>D3/3+Input!D3</f>
        <v>204130</v>
      </c>
      <c r="E4" s="3">
        <f>E3/3+Input!E3</f>
        <v>264630</v>
      </c>
      <c r="F4" s="4">
        <f t="shared" ref="F4:F5" si="0">SUM(B4:E4)</f>
        <v>996394</v>
      </c>
    </row>
    <row r="5" spans="1:7" x14ac:dyDescent="0.2">
      <c r="A5" s="2" t="s">
        <v>2</v>
      </c>
      <c r="B5" s="3">
        <f>SUM(B3:B4)</f>
        <v>685565.33333333326</v>
      </c>
      <c r="C5" s="3">
        <f t="shared" ref="C5:E5" si="1">SUM(C3:C4)</f>
        <v>240663.66666666666</v>
      </c>
      <c r="D5" s="3">
        <f t="shared" si="1"/>
        <v>204130</v>
      </c>
      <c r="E5" s="3">
        <f t="shared" si="1"/>
        <v>264630</v>
      </c>
      <c r="F5" s="4">
        <f t="shared" si="0"/>
        <v>1394989</v>
      </c>
    </row>
    <row r="6" spans="1:7" x14ac:dyDescent="0.2">
      <c r="B6" s="3"/>
      <c r="C6" s="3"/>
      <c r="D6" s="3"/>
      <c r="E6" s="3"/>
      <c r="F6" s="3"/>
    </row>
    <row r="7" spans="1:7" x14ac:dyDescent="0.2">
      <c r="A7" s="2" t="s">
        <v>8</v>
      </c>
      <c r="G7" t="s">
        <v>9</v>
      </c>
    </row>
    <row r="8" spans="1:7" x14ac:dyDescent="0.2">
      <c r="A8" t="s">
        <v>0</v>
      </c>
      <c r="B8" s="3">
        <f>0.66*B3</f>
        <v>241700.25</v>
      </c>
      <c r="C8" s="3">
        <f t="shared" ref="C8:F8" si="2">0.66*C3</f>
        <v>21372.45</v>
      </c>
      <c r="D8" s="3">
        <f t="shared" si="2"/>
        <v>0</v>
      </c>
      <c r="E8" s="3">
        <f t="shared" si="2"/>
        <v>0</v>
      </c>
      <c r="F8" s="3">
        <f t="shared" si="2"/>
        <v>263072.7</v>
      </c>
    </row>
    <row r="9" spans="1:7" x14ac:dyDescent="0.2">
      <c r="A9" t="s">
        <v>1</v>
      </c>
      <c r="B9" s="3">
        <f t="shared" ref="B9:F9" si="3">0.66*B4</f>
        <v>210772.87</v>
      </c>
      <c r="C9" s="3">
        <f t="shared" si="3"/>
        <v>137465.57</v>
      </c>
      <c r="D9" s="3">
        <f t="shared" si="3"/>
        <v>134725.80000000002</v>
      </c>
      <c r="E9" s="3">
        <f t="shared" si="3"/>
        <v>174655.80000000002</v>
      </c>
      <c r="F9" s="3">
        <f t="shared" si="3"/>
        <v>657620.04</v>
      </c>
    </row>
    <row r="10" spans="1:7" x14ac:dyDescent="0.2">
      <c r="A10" s="2" t="s">
        <v>2</v>
      </c>
      <c r="B10" s="3">
        <f t="shared" ref="B10:F10" si="4">0.66*B5</f>
        <v>452473.12</v>
      </c>
      <c r="C10" s="3">
        <f t="shared" si="4"/>
        <v>158838.01999999999</v>
      </c>
      <c r="D10" s="3">
        <f t="shared" si="4"/>
        <v>134725.80000000002</v>
      </c>
      <c r="E10" s="3">
        <f t="shared" si="4"/>
        <v>174655.80000000002</v>
      </c>
      <c r="F10" s="3">
        <f t="shared" si="4"/>
        <v>920692.74</v>
      </c>
    </row>
    <row r="11" spans="1:7" x14ac:dyDescent="0.2">
      <c r="B11" s="3"/>
      <c r="C11" s="3"/>
      <c r="D11" s="3"/>
      <c r="E11" s="3"/>
      <c r="F11" s="3"/>
    </row>
    <row r="12" spans="1:7" x14ac:dyDescent="0.2">
      <c r="A12" s="2" t="s">
        <v>10</v>
      </c>
      <c r="B12" s="3"/>
      <c r="C12" s="3"/>
      <c r="D12" s="3"/>
      <c r="E12" s="3"/>
      <c r="F12" s="3"/>
      <c r="G12" t="s">
        <v>11</v>
      </c>
    </row>
    <row r="13" spans="1:7" x14ac:dyDescent="0.2">
      <c r="A13" t="s">
        <v>0</v>
      </c>
      <c r="B13" s="3">
        <f>0.34*B3</f>
        <v>124512.25000000001</v>
      </c>
      <c r="C13" s="3">
        <f t="shared" ref="C13:F13" si="5">0.34*C3</f>
        <v>11010.050000000001</v>
      </c>
      <c r="D13" s="3">
        <f t="shared" si="5"/>
        <v>0</v>
      </c>
      <c r="E13" s="3">
        <f t="shared" si="5"/>
        <v>0</v>
      </c>
      <c r="F13" s="3">
        <f t="shared" si="5"/>
        <v>135522.30000000002</v>
      </c>
    </row>
    <row r="14" spans="1:7" x14ac:dyDescent="0.2">
      <c r="A14" t="s">
        <v>1</v>
      </c>
      <c r="B14" s="3">
        <f t="shared" ref="B14:F14" si="6">0.34*B4</f>
        <v>108579.96333333333</v>
      </c>
      <c r="C14" s="3">
        <f t="shared" si="6"/>
        <v>70815.596666666665</v>
      </c>
      <c r="D14" s="3">
        <f t="shared" si="6"/>
        <v>69404.200000000012</v>
      </c>
      <c r="E14" s="3">
        <f t="shared" si="6"/>
        <v>89974.200000000012</v>
      </c>
      <c r="F14" s="3">
        <f t="shared" si="6"/>
        <v>338773.96</v>
      </c>
    </row>
    <row r="15" spans="1:7" x14ac:dyDescent="0.2">
      <c r="A15" s="2" t="s">
        <v>2</v>
      </c>
      <c r="B15" s="3">
        <f t="shared" ref="B15:F15" si="7">0.34*B5</f>
        <v>233092.21333333332</v>
      </c>
      <c r="C15" s="3">
        <f t="shared" si="7"/>
        <v>81825.646666666667</v>
      </c>
      <c r="D15" s="3">
        <f t="shared" si="7"/>
        <v>69404.200000000012</v>
      </c>
      <c r="E15" s="3">
        <f t="shared" si="7"/>
        <v>89974.200000000012</v>
      </c>
      <c r="F15" s="3">
        <f t="shared" si="7"/>
        <v>474296.26</v>
      </c>
    </row>
    <row r="16" spans="1:7" x14ac:dyDescent="0.2">
      <c r="B16" s="3"/>
      <c r="C16" s="3"/>
      <c r="D16" s="3"/>
      <c r="E16" s="3"/>
      <c r="F16" s="3"/>
    </row>
    <row r="17" spans="2:6" x14ac:dyDescent="0.2">
      <c r="B17" s="3"/>
      <c r="C17" s="3"/>
      <c r="D17" s="3"/>
      <c r="E17" s="3"/>
      <c r="F1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</vt:lpstr>
      <vt:lpstr>Adjustments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Mitchell</dc:creator>
  <cp:lastModifiedBy>Joseph Mitchell</cp:lastModifiedBy>
  <dcterms:created xsi:type="dcterms:W3CDTF">2026-02-08T23:29:13Z</dcterms:created>
  <dcterms:modified xsi:type="dcterms:W3CDTF">2026-02-08T23:52:53Z</dcterms:modified>
</cp:coreProperties>
</file>