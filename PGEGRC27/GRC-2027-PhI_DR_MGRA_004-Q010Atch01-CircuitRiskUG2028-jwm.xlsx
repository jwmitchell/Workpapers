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/>
  <xr:revisionPtr revIDLastSave="0" documentId="8_{1D18F528-F83F-6A4A-81F3-CEB142C64CC2}" xr6:coauthVersionLast="47" xr6:coauthVersionMax="47" xr10:uidLastSave="{00000000-0000-0000-0000-000000000000}"/>
  <bookViews>
    <workbookView xWindow="9820" yWindow="-20240" windowWidth="33720" windowHeight="15440" xr2:uid="{00000000-000D-0000-FFFF-FFFF00000000}"/>
  </bookViews>
  <sheets>
    <sheet name="MGRA 004 Q010" sheetId="2" r:id="rId1"/>
  </sheets>
  <definedNames>
    <definedName name="_xlnm._FilterDatabase" localSheetId="0" hidden="1">'MGRA 004 Q010'!$A$6:$P$187</definedName>
    <definedName name="_xlnm.Auto_Open_OpenIowa" localSheetId="0">#REF!</definedName>
    <definedName name="BPCEnvironment" localSheetId="0">RIGHT(_xll.EVSVR(),LEN(_xll.EVSVR())-FIND("//",_xll.EVSVR())-1)</definedName>
    <definedName name="CalculateEverything" localSheetId="0">#REF!</definedName>
    <definedName name="Payment_Number" localSheetId="0">ROW()-Header_Row</definedName>
    <definedName name="Print_RatPR2" localSheetId="0">#REF!</definedName>
    <definedName name="PrintSheet" localSheetId="0">#REF!</definedName>
    <definedName name="signature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7" i="2" l="1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N4" i="2"/>
  <c r="J4" i="2"/>
</calcChain>
</file>

<file path=xl/sharedStrings.xml><?xml version="1.0" encoding="utf-8"?>
<sst xmlns="http://schemas.openxmlformats.org/spreadsheetml/2006/main" count="1137" uniqueCount="528">
  <si>
    <t>PG&amp;E's 2025-2028 Undergrounding Workplan</t>
  </si>
  <si>
    <t>Prepared in response to data request GRC_MGRA_004, Question 010</t>
  </si>
  <si>
    <t>Data as of 12/10/2025</t>
  </si>
  <si>
    <t>MGRA 004 Q010 Subpart</t>
  </si>
  <si>
    <t>a</t>
  </si>
  <si>
    <t>b</t>
  </si>
  <si>
    <t>c</t>
  </si>
  <si>
    <t>Circuit Segment</t>
  </si>
  <si>
    <t>Circuit ID</t>
  </si>
  <si>
    <t>Circuit Name</t>
  </si>
  <si>
    <t>County</t>
  </si>
  <si>
    <t>HFTD</t>
  </si>
  <si>
    <t>Forecasted Year Complete</t>
  </si>
  <si>
    <t>2025-2028 Forecasted UG Miles</t>
  </si>
  <si>
    <t>Estimated UG Unit Cost ($M/mile)</t>
  </si>
  <si>
    <t>2025-2028 Forecasted UG Cost ($M)</t>
  </si>
  <si>
    <t>Total Wildfire Risk Points
WDRM v4</t>
  </si>
  <si>
    <t>Percentile Ranking of Risk
WDRM v4</t>
  </si>
  <si>
    <t>Benefit-Cost Ratio</t>
  </si>
  <si>
    <t>Total Wildfire Risk Points
WDRM v3
(for available Circuit Segments)</t>
  </si>
  <si>
    <t>Percentile Rank of Risk
WDRM v3 
(for available Circuit Segments)</t>
  </si>
  <si>
    <t>TIGER CREEK 0201CB</t>
  </si>
  <si>
    <t>TIGER CREEK 0201</t>
  </si>
  <si>
    <t>AMADOR</t>
  </si>
  <si>
    <t>Tier 2 &amp; 3</t>
  </si>
  <si>
    <t>$1.5 - $6.1</t>
  </si>
  <si>
    <t>$6.6 - $26.3</t>
  </si>
  <si>
    <t>BUCKS CREEK 1102CB</t>
  </si>
  <si>
    <t>BUCKS CREEK 1102</t>
  </si>
  <si>
    <t>PLUMAS</t>
  </si>
  <si>
    <t>$19.4 - $77.7</t>
  </si>
  <si>
    <t>APPLE HILL 2102CB</t>
  </si>
  <si>
    <t>APPLE HILL 2102</t>
  </si>
  <si>
    <t>EL DORADO</t>
  </si>
  <si>
    <t>$7.6 - $30.3</t>
  </si>
  <si>
    <t>FRENCH GULCH 11011892</t>
  </si>
  <si>
    <t>FRENCH GULCH 1101</t>
  </si>
  <si>
    <t>SHASTA</t>
  </si>
  <si>
    <t>Tier 2</t>
  </si>
  <si>
    <t>$0.8 - $3.4</t>
  </si>
  <si>
    <t>DOBBINS 1101CB</t>
  </si>
  <si>
    <t>DOBBINS 1101</t>
  </si>
  <si>
    <t>YUBA</t>
  </si>
  <si>
    <t>$1 - $3.9</t>
  </si>
  <si>
    <t>CLAYTON 221296224</t>
  </si>
  <si>
    <t>CLAYTON 2212</t>
  </si>
  <si>
    <t>CONTRA COSTA</t>
  </si>
  <si>
    <t>Tier 3</t>
  </si>
  <si>
    <t>$1.2 - $4.8</t>
  </si>
  <si>
    <t>WEST POINT 1101CB</t>
  </si>
  <si>
    <t>WEST POINT 1101</t>
  </si>
  <si>
    <t>$9.5 - $38</t>
  </si>
  <si>
    <t>FRENCH GULCH 11022902</t>
  </si>
  <si>
    <t>FRENCH GULCH 1102</t>
  </si>
  <si>
    <t>$2.1 - $8.5</t>
  </si>
  <si>
    <t>CALISTOGA 110135588</t>
  </si>
  <si>
    <t>CALISTOGA 1101</t>
  </si>
  <si>
    <t>NAPA</t>
  </si>
  <si>
    <t>$4.3 - $17.3</t>
  </si>
  <si>
    <t>MOUNTAIN QUARRIES 2101CB</t>
  </si>
  <si>
    <t>MOUNTAIN QUARRIES 2101</t>
  </si>
  <si>
    <t>$0.8 - $3.1</t>
  </si>
  <si>
    <t>DRUM 1101CB</t>
  </si>
  <si>
    <t>DRUM 1101</t>
  </si>
  <si>
    <t>PLACER</t>
  </si>
  <si>
    <t>$0.4 - $1.7</t>
  </si>
  <si>
    <t>WISHON 1101CB</t>
  </si>
  <si>
    <t>WISHON 1101</t>
  </si>
  <si>
    <t>MADERA</t>
  </si>
  <si>
    <t>$0.1 - $0.2</t>
  </si>
  <si>
    <t>ORO FINO 11022236</t>
  </si>
  <si>
    <t>ORO FINO 1102</t>
  </si>
  <si>
    <t>BUTTE</t>
  </si>
  <si>
    <t>MIDDLETOWN 1101644756</t>
  </si>
  <si>
    <t>MIDDLETOWN 1101</t>
  </si>
  <si>
    <t>LAKE</t>
  </si>
  <si>
    <t>$24.3 - $97</t>
  </si>
  <si>
    <t>CLOVERDALE 1102672</t>
  </si>
  <si>
    <t>CLOVERDALE 1102</t>
  </si>
  <si>
    <t>SONOMA</t>
  </si>
  <si>
    <t>$2 - $8</t>
  </si>
  <si>
    <t>GUSTINE 1102999258</t>
  </si>
  <si>
    <t>GUSTINE 1102</t>
  </si>
  <si>
    <t>MERCED</t>
  </si>
  <si>
    <t>HFRA</t>
  </si>
  <si>
    <t>ELECTRA 1101L1697</t>
  </si>
  <si>
    <t>ELECTRA 1101</t>
  </si>
  <si>
    <t>$8.3 - $33.1</t>
  </si>
  <si>
    <t>PIKE CITY 11011720</t>
  </si>
  <si>
    <t>PIKE CITY 1101</t>
  </si>
  <si>
    <t>$11.4 - $45.6</t>
  </si>
  <si>
    <t>CLAYTON 2212681608</t>
  </si>
  <si>
    <t>$0.1 - $0.3</t>
  </si>
  <si>
    <t>ALLEGHANY 1102CB</t>
  </si>
  <si>
    <t>ALLEGHANY 1102</t>
  </si>
  <si>
    <t>SIERRA</t>
  </si>
  <si>
    <t>$18.5 - $74</t>
  </si>
  <si>
    <t>ALTO 1124432</t>
  </si>
  <si>
    <t>ALTO 1124</t>
  </si>
  <si>
    <t>MARIN</t>
  </si>
  <si>
    <t>$15.6 - $62.4</t>
  </si>
  <si>
    <t>PIT NO 3 21011482</t>
  </si>
  <si>
    <t>PIT NO 3 2101</t>
  </si>
  <si>
    <t>$20.2 - $80.6</t>
  </si>
  <si>
    <t>PIT NO 5 1101CB</t>
  </si>
  <si>
    <t>PIT NO 5 1101</t>
  </si>
  <si>
    <t>$1 - $4.1</t>
  </si>
  <si>
    <t>MIWUK 170236888</t>
  </si>
  <si>
    <t>MIWUK 1702</t>
  </si>
  <si>
    <t>TUOLUMNE</t>
  </si>
  <si>
    <t>$0.7 - $2.6</t>
  </si>
  <si>
    <t>SILVERADO 2104646776</t>
  </si>
  <si>
    <t>SILVERADO 2104</t>
  </si>
  <si>
    <t>$1.8 - $7</t>
  </si>
  <si>
    <t>INDIAN FLAT 1104CB</t>
  </si>
  <si>
    <t>INDIAN FLAT 1104</t>
  </si>
  <si>
    <t>MARIPOSA</t>
  </si>
  <si>
    <t>$4.7 - $18.6</t>
  </si>
  <si>
    <t>MONTE RIO 1113320</t>
  </si>
  <si>
    <t>MONTE RIO 1113</t>
  </si>
  <si>
    <t>$11.8 - $47.1</t>
  </si>
  <si>
    <t>STELLING 11109265</t>
  </si>
  <si>
    <t>STELLING 1110</t>
  </si>
  <si>
    <t>SANTA CLARA</t>
  </si>
  <si>
    <t>$10.4 - $41.5</t>
  </si>
  <si>
    <t>TEJON 11022455</t>
  </si>
  <si>
    <t>TEJON 1102</t>
  </si>
  <si>
    <t>KERN</t>
  </si>
  <si>
    <t>$3.8 - $15.2</t>
  </si>
  <si>
    <t>EL DORADO PH 2101CB</t>
  </si>
  <si>
    <t>EL DORADO PH 2101</t>
  </si>
  <si>
    <t>$9.5 - $37.8</t>
  </si>
  <si>
    <t>HIGHLANDS 1102628</t>
  </si>
  <si>
    <t>HIGHLANDS 1102</t>
  </si>
  <si>
    <t>$9.6 - $38.4</t>
  </si>
  <si>
    <t>CALAVERAS CEMENT 1101544800</t>
  </si>
  <si>
    <t>CALAVERAS CEMENT 1101</t>
  </si>
  <si>
    <t>CALAVERAS</t>
  </si>
  <si>
    <t>$4.6 - $18.2</t>
  </si>
  <si>
    <t>ALTO 11243745</t>
  </si>
  <si>
    <t>$7.9 - $31.5</t>
  </si>
  <si>
    <t>PINE GROVE 110245292</t>
  </si>
  <si>
    <t>PINE GROVE 1102</t>
  </si>
  <si>
    <t>$19.1 - $76.2</t>
  </si>
  <si>
    <t>SAN LUIS OBISPO 1104982992</t>
  </si>
  <si>
    <t>SAN LUIS OBISPO 1104</t>
  </si>
  <si>
    <t>SAN LUIS OBISPO</t>
  </si>
  <si>
    <t>$4.8 - $19.4</t>
  </si>
  <si>
    <t>BONNIE NOOK 1102542186</t>
  </si>
  <si>
    <t>BONNIE NOOK 1102</t>
  </si>
  <si>
    <t>$8.8 - $35.1</t>
  </si>
  <si>
    <t>BUCKS CREEK 1103CB</t>
  </si>
  <si>
    <t>BUCKS CREEK 1103</t>
  </si>
  <si>
    <t>$0.2 - $0.7</t>
  </si>
  <si>
    <t>BIG BEND 1101CB</t>
  </si>
  <si>
    <t>BIG BEND 1101</t>
  </si>
  <si>
    <t>$34 - $136.2</t>
  </si>
  <si>
    <t>FORT ROSS 112170288</t>
  </si>
  <si>
    <t>FORT ROSS 1121</t>
  </si>
  <si>
    <t>$49 - $196.2</t>
  </si>
  <si>
    <t>ALLEGHANY 1101VR816</t>
  </si>
  <si>
    <t>ALLEGHANY 1101</t>
  </si>
  <si>
    <t>$6.7 - $26.7</t>
  </si>
  <si>
    <t>CALAVERAS CEMENT 11011419</t>
  </si>
  <si>
    <t>$8.4 - $33.6</t>
  </si>
  <si>
    <t>PIT NO 3 2101CB</t>
  </si>
  <si>
    <t>$8.7 - $34.8</t>
  </si>
  <si>
    <t>ALLEGHANY 1101806</t>
  </si>
  <si>
    <t>$5.7 - $22.7</t>
  </si>
  <si>
    <t>MIWUK 17021808</t>
  </si>
  <si>
    <t>$2.6 - $10.5</t>
  </si>
  <si>
    <t>ELECTRA 11017104</t>
  </si>
  <si>
    <t>$14.2 - $56.7</t>
  </si>
  <si>
    <t>CORNING 110185152</t>
  </si>
  <si>
    <t>CORNING 1101</t>
  </si>
  <si>
    <t>TEHAMA</t>
  </si>
  <si>
    <t>$3.4 - $13.6</t>
  </si>
  <si>
    <t>STELLING 1110568350</t>
  </si>
  <si>
    <t>$10.2 - $40.8</t>
  </si>
  <si>
    <t>SILVERADO 2104324994</t>
  </si>
  <si>
    <t>$0.4 - $1.6</t>
  </si>
  <si>
    <t>NOTRE DAME 11042028</t>
  </si>
  <si>
    <t>NOTRE DAME 1104</t>
  </si>
  <si>
    <t>$19.4 - $77.8</t>
  </si>
  <si>
    <t>PLACERVILLE 2106CB</t>
  </si>
  <si>
    <t>PLACERVILLE 2106</t>
  </si>
  <si>
    <t>$17.9 - $71.5</t>
  </si>
  <si>
    <t>CLAYTON 2212614950</t>
  </si>
  <si>
    <t>$0.9 - $3.6</t>
  </si>
  <si>
    <t>PIKE CITY 1102CB</t>
  </si>
  <si>
    <t>PIKE CITY 1102</t>
  </si>
  <si>
    <t>$19.9 - $79.5</t>
  </si>
  <si>
    <t>SUNOL 1101298061</t>
  </si>
  <si>
    <t>SUNOL 1101</t>
  </si>
  <si>
    <t>ALAMEDA</t>
  </si>
  <si>
    <t>$3.7 - $15</t>
  </si>
  <si>
    <t>FORESTHILL 110150486</t>
  </si>
  <si>
    <t>FORESTHILL 1101</t>
  </si>
  <si>
    <t>$5.2 - $20.9</t>
  </si>
  <si>
    <t>MOUNTAIN QUARRIES 21011130</t>
  </si>
  <si>
    <t>$42.6 - $170.2</t>
  </si>
  <si>
    <t>CALISTOGA 1101730666</t>
  </si>
  <si>
    <t>$3.5 - $13.9</t>
  </si>
  <si>
    <t>PIT NO 3 21011480</t>
  </si>
  <si>
    <t>$4 - $16.1</t>
  </si>
  <si>
    <t>BONNIE NOOK 1101CB</t>
  </si>
  <si>
    <t>BONNIE NOOK 1101</t>
  </si>
  <si>
    <t>$29.1 - $116.2</t>
  </si>
  <si>
    <t>MARIPOSA 2101439030</t>
  </si>
  <si>
    <t>MARIPOSA 2101</t>
  </si>
  <si>
    <t>Mariposa</t>
  </si>
  <si>
    <t>$9.2 - $36.8</t>
  </si>
  <si>
    <t>ALTO 11221260</t>
  </si>
  <si>
    <t>ALTO 1122</t>
  </si>
  <si>
    <t>Marin</t>
  </si>
  <si>
    <t>$5.4 - $21.5</t>
  </si>
  <si>
    <t>WEST POINT 110236676</t>
  </si>
  <si>
    <t>WEST POINT 1102</t>
  </si>
  <si>
    <t>Calaveras</t>
  </si>
  <si>
    <t>$23.6 - $94.5</t>
  </si>
  <si>
    <t>APPLE HILL 110497086</t>
  </si>
  <si>
    <t>APPLE HILL 1104</t>
  </si>
  <si>
    <t>$48.2 - $193</t>
  </si>
  <si>
    <t>KONOCTI 1102714370</t>
  </si>
  <si>
    <t>KONOCTI 1102</t>
  </si>
  <si>
    <t>Lake</t>
  </si>
  <si>
    <t>$4.6 - $18.3</t>
  </si>
  <si>
    <t>PIT NO 5 11011658</t>
  </si>
  <si>
    <t>Shasta</t>
  </si>
  <si>
    <t>$2.2 - $8.6</t>
  </si>
  <si>
    <t>SARATOGA 1107667000</t>
  </si>
  <si>
    <t>SARATOGA 1107</t>
  </si>
  <si>
    <t>Santa Clara</t>
  </si>
  <si>
    <t>$13.9 - $55.5</t>
  </si>
  <si>
    <t>SILVERADO 210478268</t>
  </si>
  <si>
    <t>$25.2 - $101</t>
  </si>
  <si>
    <t>ELECTRA 1101CB</t>
  </si>
  <si>
    <t>Amador</t>
  </si>
  <si>
    <t>$11 - $44.1</t>
  </si>
  <si>
    <t>CALAVERAS CEMENT 110147968</t>
  </si>
  <si>
    <t>$32.6 - $130.4</t>
  </si>
  <si>
    <t>PLACERVILLE 21069712</t>
  </si>
  <si>
    <t>El Dorado</t>
  </si>
  <si>
    <t>$35.1 - $140.4</t>
  </si>
  <si>
    <t>DUNLAP 1103CB</t>
  </si>
  <si>
    <t>DUNLAP 1103</t>
  </si>
  <si>
    <t>Fresno</t>
  </si>
  <si>
    <t>SILVERADO 2104632</t>
  </si>
  <si>
    <t>$39.7 - $158.8</t>
  </si>
  <si>
    <t>SANTA YNEZ 1102320270</t>
  </si>
  <si>
    <t>SANTA YNEZ 1102</t>
  </si>
  <si>
    <t>Santa Barbara</t>
  </si>
  <si>
    <t>$15.6 - $62.5</t>
  </si>
  <si>
    <t>SHADY GLEN 1101941844</t>
  </si>
  <si>
    <t>SHADY GLEN 1101</t>
  </si>
  <si>
    <t>Placer</t>
  </si>
  <si>
    <t>$23.1 - $92.5</t>
  </si>
  <si>
    <t>MOLINO 1102318</t>
  </si>
  <si>
    <t>MOLINO 1102</t>
  </si>
  <si>
    <t>Sonoma</t>
  </si>
  <si>
    <t>$36.9 - $147.4</t>
  </si>
  <si>
    <t>PINE GROVE 1101CB</t>
  </si>
  <si>
    <t>PINE GROVE 1101</t>
  </si>
  <si>
    <t>$5.6 - $22.4</t>
  </si>
  <si>
    <t>STANISLAUS 1701CB</t>
  </si>
  <si>
    <t>STANISLAUS 1701</t>
  </si>
  <si>
    <t>$4 - $15.8</t>
  </si>
  <si>
    <t>STILLWATER 11021466</t>
  </si>
  <si>
    <t>STILLWATER 1102</t>
  </si>
  <si>
    <t>$28.8 - $115.4</t>
  </si>
  <si>
    <t>LAURELES 111110141</t>
  </si>
  <si>
    <t>LAURELES 1111</t>
  </si>
  <si>
    <t>Monterey</t>
  </si>
  <si>
    <t>$5.4 - $21.7</t>
  </si>
  <si>
    <t>WEST POINT 11021305</t>
  </si>
  <si>
    <t>$6.6 - $26.4</t>
  </si>
  <si>
    <t>PLACERVILLE 2106935216</t>
  </si>
  <si>
    <t>$49.1 - $196.3</t>
  </si>
  <si>
    <t>TEJON 11023751</t>
  </si>
  <si>
    <t>$12.4 - $49.5</t>
  </si>
  <si>
    <t>SHADY GLEN 11012768</t>
  </si>
  <si>
    <t>$5.7 - $22.8</t>
  </si>
  <si>
    <t>MIDDLETOWN 1101548</t>
  </si>
  <si>
    <t>$17.7 - $70.7</t>
  </si>
  <si>
    <t>STANISLAUS 17026028</t>
  </si>
  <si>
    <t>STANISLAUS 1702</t>
  </si>
  <si>
    <t>$11.6 - $46.5</t>
  </si>
  <si>
    <t>REDBUD 1101323962</t>
  </si>
  <si>
    <t>REDBUD 1101</t>
  </si>
  <si>
    <t>$9.6 - $38.2</t>
  </si>
  <si>
    <t>STANISLAUS 17011812</t>
  </si>
  <si>
    <t>$38.6 - $154.6</t>
  </si>
  <si>
    <t>PLACERVILLE 210611132</t>
  </si>
  <si>
    <t>$46.2 - $184.8</t>
  </si>
  <si>
    <t>KESWICK 110148480</t>
  </si>
  <si>
    <t>KESWICK 1101</t>
  </si>
  <si>
    <t>$0.3 - $1.3</t>
  </si>
  <si>
    <t>WEST POINT 110112256</t>
  </si>
  <si>
    <t>CURTIS 17039240</t>
  </si>
  <si>
    <t>CURTIS 1703</t>
  </si>
  <si>
    <t>$25.8 - $103.1</t>
  </si>
  <si>
    <t>ANTLER 11011384</t>
  </si>
  <si>
    <t>ANTLER 1101</t>
  </si>
  <si>
    <t>$23 - $91.9</t>
  </si>
  <si>
    <t>MIDDLETOWN 1101171414</t>
  </si>
  <si>
    <t>$3.8 - $15.3</t>
  </si>
  <si>
    <t>EL DORADO PH 2102CB</t>
  </si>
  <si>
    <t>EL DORADO PH 2102</t>
  </si>
  <si>
    <t>$10.3 - $41</t>
  </si>
  <si>
    <t>TEJON 1102732836</t>
  </si>
  <si>
    <t>$22 - $88.1</t>
  </si>
  <si>
    <t>ALLEGHANY 1101804</t>
  </si>
  <si>
    <t>$9.8 - $39.3</t>
  </si>
  <si>
    <t>SHADY GLEN 110132726</t>
  </si>
  <si>
    <t>$16.8 - $67</t>
  </si>
  <si>
    <t>CALISTOGA 1102131531</t>
  </si>
  <si>
    <t>CALISTOGA 1102</t>
  </si>
  <si>
    <t>$2.8 - $11.1</t>
  </si>
  <si>
    <t>FORESTHILL 11011802</t>
  </si>
  <si>
    <t>$50.5 - $201.9</t>
  </si>
  <si>
    <t>WEST POINT 110277204</t>
  </si>
  <si>
    <t>$5.2 - $21</t>
  </si>
  <si>
    <t>BONNIE NOOK 1102CB</t>
  </si>
  <si>
    <t>$64.5 - $258.1</t>
  </si>
  <si>
    <t>MOUNTAIN QUARRIES 210135466</t>
  </si>
  <si>
    <t>$0.2 - $0.9</t>
  </si>
  <si>
    <t>STANISLAUS 170237278</t>
  </si>
  <si>
    <t>$14.6 - $58.6</t>
  </si>
  <si>
    <t>ORO FINO 1102CB</t>
  </si>
  <si>
    <t>$4.9 - $19.8</t>
  </si>
  <si>
    <t>MIDDLETOWN 11011314</t>
  </si>
  <si>
    <t>$1.6 - $6.4</t>
  </si>
  <si>
    <t>VACAVILLE 11088762</t>
  </si>
  <si>
    <t>VACAVILLE 1108</t>
  </si>
  <si>
    <t>SOLANO</t>
  </si>
  <si>
    <t>$0.2 - $0.8</t>
  </si>
  <si>
    <t>SYCAMORE CREEK 11112268</t>
  </si>
  <si>
    <t>SYCAMORE CREEK 1111</t>
  </si>
  <si>
    <t>$38 - $152.2</t>
  </si>
  <si>
    <t>ORO FINO 110276008</t>
  </si>
  <si>
    <t>$27 - $108.1</t>
  </si>
  <si>
    <t>OAKHURST 110310140</t>
  </si>
  <si>
    <t>OAKHURST 1103</t>
  </si>
  <si>
    <t>WEST POINT 11021341</t>
  </si>
  <si>
    <t>$15.4 - $61.7</t>
  </si>
  <si>
    <t>PUEBLO 2103678</t>
  </si>
  <si>
    <t>PUEBLO 2103</t>
  </si>
  <si>
    <t>$100 - $399.9</t>
  </si>
  <si>
    <t>MARIPOSA 210110240</t>
  </si>
  <si>
    <t>$3.7 - $14.8</t>
  </si>
  <si>
    <t>KESWICK 11019712</t>
  </si>
  <si>
    <t>$9.1 - $36.5</t>
  </si>
  <si>
    <t>WILDWOOD 110198896</t>
  </si>
  <si>
    <t>WILDWOOD 1101</t>
  </si>
  <si>
    <t>$7.1 - $28.2</t>
  </si>
  <si>
    <t>APPLE HILL 21026552</t>
  </si>
  <si>
    <t>$10.8 - $43.3</t>
  </si>
  <si>
    <t>PEORIA 170190090</t>
  </si>
  <si>
    <t>PEORIA 1701</t>
  </si>
  <si>
    <t>$2.9 - $11.5</t>
  </si>
  <si>
    <t>OREGON TRAIL 11021584</t>
  </si>
  <si>
    <t>OREGON TRAIL 1102</t>
  </si>
  <si>
    <t>$10.2 - $41</t>
  </si>
  <si>
    <t>MIDDLETOWN 1101433160</t>
  </si>
  <si>
    <t>$2 - $8.2</t>
  </si>
  <si>
    <t>WEST POINT 11014706</t>
  </si>
  <si>
    <t>$20.5 - $82.2</t>
  </si>
  <si>
    <t>DOBBINS 110169722</t>
  </si>
  <si>
    <t>APPLE HILL 210289934</t>
  </si>
  <si>
    <t>$1.6 - $6.5</t>
  </si>
  <si>
    <t>BIG BEND 1101180398</t>
  </si>
  <si>
    <t>$1.1 - $4.2</t>
  </si>
  <si>
    <t>APPLE HILL 1104CB</t>
  </si>
  <si>
    <t>$8 - $31.9</t>
  </si>
  <si>
    <t>APPLE HILL 21027502</t>
  </si>
  <si>
    <t>$47.4 - $189.7</t>
  </si>
  <si>
    <t>SHADY GLEN 110248894</t>
  </si>
  <si>
    <t>SHADY GLEN 1102</t>
  </si>
  <si>
    <t>$15.4 - $61.4</t>
  </si>
  <si>
    <t>BEAR VALLEY 210576694</t>
  </si>
  <si>
    <t>BEAR VALLEY 2105</t>
  </si>
  <si>
    <t>$3.2 - $13</t>
  </si>
  <si>
    <t>SHADY GLEN 11022232</t>
  </si>
  <si>
    <t>$42.7 - $171</t>
  </si>
  <si>
    <t>COLUMBIA HILL 110190730</t>
  </si>
  <si>
    <t>COLUMBIA HILL 1101</t>
  </si>
  <si>
    <t>NEVADA</t>
  </si>
  <si>
    <t>$4.5 - $18</t>
  </si>
  <si>
    <t>AUBERRY 1101R2578</t>
  </si>
  <si>
    <t>AUBERRY 1101</t>
  </si>
  <si>
    <t>FRESNO</t>
  </si>
  <si>
    <t>$1.5 - $5.9</t>
  </si>
  <si>
    <t>ANTLER 1101CB</t>
  </si>
  <si>
    <t>$1.3 - $5</t>
  </si>
  <si>
    <t>DOBBINS 11015202</t>
  </si>
  <si>
    <t>$0.3 - $1.1</t>
  </si>
  <si>
    <t>PIKE CITY 1101CB</t>
  </si>
  <si>
    <t>$33.3 - $133.2</t>
  </si>
  <si>
    <t>CALISTOGA 110143924</t>
  </si>
  <si>
    <t>GIRVAN 11029012</t>
  </si>
  <si>
    <t>GIRVAN 1102</t>
  </si>
  <si>
    <t>$0.5 - $2.1</t>
  </si>
  <si>
    <t>HIGHLANDS 1103726580</t>
  </si>
  <si>
    <t>HIGHLANDS 1103</t>
  </si>
  <si>
    <t>$1.1 - $4.4</t>
  </si>
  <si>
    <t>ALTO 1124430</t>
  </si>
  <si>
    <t>PLACERVILLE 111219712</t>
  </si>
  <si>
    <t>PLACERVILLE 1112</t>
  </si>
  <si>
    <t>MOUNTAIN QUARRIES 21011350</t>
  </si>
  <si>
    <t>$1.7 - $6.8</t>
  </si>
  <si>
    <t>ANTLER 11011520</t>
  </si>
  <si>
    <t>$6.3 - $25.3</t>
  </si>
  <si>
    <t>APPLE HILL 2102836878</t>
  </si>
  <si>
    <t>$102.6 - $410.3</t>
  </si>
  <si>
    <t>JAMESON 110265516</t>
  </si>
  <si>
    <t>JAMESON 1102</t>
  </si>
  <si>
    <t>$1.2 - $4.9</t>
  </si>
  <si>
    <t>KESWICK 11011588</t>
  </si>
  <si>
    <t>$3.3 - $13.1</t>
  </si>
  <si>
    <t>VACAVILLE 11046542</t>
  </si>
  <si>
    <t>VACAVILLE 1104</t>
  </si>
  <si>
    <t>$0.3 - $1</t>
  </si>
  <si>
    <t>WOODSIDE 11018974</t>
  </si>
  <si>
    <t>WOODSIDE 1101</t>
  </si>
  <si>
    <t>SAN MATEO</t>
  </si>
  <si>
    <t>MONTE RIO 111164758</t>
  </si>
  <si>
    <t>MONTE RIO 1111</t>
  </si>
  <si>
    <t>$1.2 - $4.6</t>
  </si>
  <si>
    <t>SYCAMORE CREEK 11112014</t>
  </si>
  <si>
    <t>$4.2 - $16.9</t>
  </si>
  <si>
    <t>MIDDLETOWN 1102302610</t>
  </si>
  <si>
    <t>MIDDLETOWN 1102</t>
  </si>
  <si>
    <t>$3 - $11.9</t>
  </si>
  <si>
    <t>CALISTOGA 1101122350</t>
  </si>
  <si>
    <t>$7.7 - $30.7</t>
  </si>
  <si>
    <t>SILVERADO 2105658898</t>
  </si>
  <si>
    <t>SILVERADO 2105</t>
  </si>
  <si>
    <t>$6.3 - $25.2</t>
  </si>
  <si>
    <t>MARIPOSA 21019400</t>
  </si>
  <si>
    <t>$4.8 - $19.1</t>
  </si>
  <si>
    <t>FORESTHILL 110137238</t>
  </si>
  <si>
    <t>ANTLER 11011612</t>
  </si>
  <si>
    <t>$7.5 - $29.8</t>
  </si>
  <si>
    <t>CEDAR CREEK 11011664</t>
  </si>
  <si>
    <t>CEDAR CREEK 1101</t>
  </si>
  <si>
    <t>$0 - $0.1</t>
  </si>
  <si>
    <t>FORESTHILL 11022106</t>
  </si>
  <si>
    <t>FORESTHILL 1102</t>
  </si>
  <si>
    <t>$44.9 - $179.8</t>
  </si>
  <si>
    <t>MOLINO 110266006</t>
  </si>
  <si>
    <t>Molino 1102</t>
  </si>
  <si>
    <t>$1.7 - $6.9</t>
  </si>
  <si>
    <t>ELK CREEK 11012002</t>
  </si>
  <si>
    <t>ELK CREEK 1101</t>
  </si>
  <si>
    <t>GLENN</t>
  </si>
  <si>
    <t>VACAVILLE 110847860</t>
  </si>
  <si>
    <t>$0.6 - $2.6</t>
  </si>
  <si>
    <t>POTTER VALLEY P H 11051904</t>
  </si>
  <si>
    <t>POTTER VALLEY P H 1105</t>
  </si>
  <si>
    <t>MENDOCINO</t>
  </si>
  <si>
    <t>GANSNER 11012424</t>
  </si>
  <si>
    <t>GANSNER 1101</t>
  </si>
  <si>
    <t>$0.3 - $1.4</t>
  </si>
  <si>
    <t>CORNING 1102915324</t>
  </si>
  <si>
    <t>CORNING 1102</t>
  </si>
  <si>
    <t>$0.1 - $0.6</t>
  </si>
  <si>
    <t>SILVERADO 2104708</t>
  </si>
  <si>
    <t>$6.1 - $24.3</t>
  </si>
  <si>
    <t>BIG BASIN 11025066</t>
  </si>
  <si>
    <t>BIG BASIN 1102</t>
  </si>
  <si>
    <t>SANTA CRUZ</t>
  </si>
  <si>
    <t>$8.4 - $33.7</t>
  </si>
  <si>
    <t>SILVERADO 2104515946</t>
  </si>
  <si>
    <t>$19.6 - $78.5</t>
  </si>
  <si>
    <t>HALF MOON BAY 11036012</t>
  </si>
  <si>
    <t>HALF MOON BAY 1103</t>
  </si>
  <si>
    <t>$1.3 - $5.2</t>
  </si>
  <si>
    <t>REDBUD 1101708166</t>
  </si>
  <si>
    <t>$2.7 - $11</t>
  </si>
  <si>
    <t>OREGON TRAIL 110335002</t>
  </si>
  <si>
    <t>OREGON TRAIL 1103</t>
  </si>
  <si>
    <t>$6.5 - $25.9</t>
  </si>
  <si>
    <t>CRESCENT MILLS 21012056</t>
  </si>
  <si>
    <t>CRESCENT MILLS 2101</t>
  </si>
  <si>
    <t>$3.5 - $14.2</t>
  </si>
  <si>
    <t>AUBERRY 1101CB</t>
  </si>
  <si>
    <t>CLARK ROAD 1102CB</t>
  </si>
  <si>
    <t>CLARK ROAD 1102</t>
  </si>
  <si>
    <t>$1.4 - $5.4</t>
  </si>
  <si>
    <t>DIAMOND SPRINGS 11071402</t>
  </si>
  <si>
    <t>DIAMOND SPRINGS 1107</t>
  </si>
  <si>
    <t>$2 - $8.1</t>
  </si>
  <si>
    <t>PEORIA 170510580</t>
  </si>
  <si>
    <t>PEORIA 1705</t>
  </si>
  <si>
    <t>$0.1 - $0.5</t>
  </si>
  <si>
    <t>BIG MEADOWS 21012260</t>
  </si>
  <si>
    <t>BIG MEADOWS 2101</t>
  </si>
  <si>
    <t>HFRA Buffer Zone, Tier 2</t>
  </si>
  <si>
    <t>$8 - $32.2</t>
  </si>
  <si>
    <t>BELL 11082202</t>
  </si>
  <si>
    <t>BELL 1108</t>
  </si>
  <si>
    <t>$5.8 - $23</t>
  </si>
  <si>
    <t>POINT MORETTI 110112122</t>
  </si>
  <si>
    <t>POINT MORETTI 1101</t>
  </si>
  <si>
    <t>$1.7 - $6.7</t>
  </si>
  <si>
    <t>EL CERRITO G 1105BR160</t>
  </si>
  <si>
    <t>El Cerrito G 1105</t>
  </si>
  <si>
    <t>BIG MEADOWS 21012476</t>
  </si>
  <si>
    <t>$1.7 - $6.6</t>
  </si>
  <si>
    <t>CALISTOGA 1101894</t>
  </si>
  <si>
    <t>$0.3 - $1.2</t>
  </si>
  <si>
    <t>DUNBAR 1101CB</t>
  </si>
  <si>
    <t>DUNBAR 1101</t>
  </si>
  <si>
    <t>MIDDLETOWN 110148212</t>
  </si>
  <si>
    <t>$2.2 - $8.8</t>
  </si>
  <si>
    <t>N/A</t>
  </si>
  <si>
    <t>MARIPOSA 210135244</t>
  </si>
  <si>
    <t>$4.1 - $16.2</t>
  </si>
  <si>
    <t>DUNBAR 1103534</t>
  </si>
  <si>
    <t>$2.5 - $10.2</t>
  </si>
  <si>
    <t>CURTIS 170356972</t>
  </si>
  <si>
    <t>$0.4 - $1.5</t>
  </si>
  <si>
    <t>d</t>
  </si>
  <si>
    <t>Relative v3/v4</t>
  </si>
  <si>
    <t>Total Risk2528 v4</t>
  </si>
  <si>
    <t>Total Risk2528 v3</t>
  </si>
  <si>
    <t>Fraction of 2528 Risk WDRMv4</t>
  </si>
  <si>
    <t>Fraction of 2528 Risk WDRMv3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</si>
</sst>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0000"/>
  </numFmts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2" applyFont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2" fontId="0" fillId="2" borderId="0" xfId="1" applyNumberFormat="1" applyFont="1" applyFill="1"/>
    <xf numFmtId="0" fontId="0" fillId="2" borderId="0" xfId="0" applyFill="1"/>
    <xf numFmtId="0" fontId="3" fillId="0" borderId="0" xfId="0" applyFont="1" applyAlignment="1">
      <alignment horizontal="center"/>
    </xf>
    <xf numFmtId="165" fontId="0" fillId="0" borderId="0" xfId="0" applyNumberFormat="1"/>
    <xf numFmtId="0" fontId="7" fillId="0" borderId="0" xfId="0" applyFont="1"/>
  </cellXfs>
  <cellStyles count="3"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28D9-E245-4803-B462-31469320C316}">
  <dimension ref="A1:Q188"/>
  <sheetViews>
    <sheetView tabSelected="1" topLeftCell="D41" zoomScale="85" zoomScaleNormal="85" workbookViewId="0">
      <selection activeCell="Q21" sqref="Q21"/>
    </sheetView>
  </sheetViews>
  <sheetFormatPr baseColWidth="10" defaultColWidth="8.83203125" defaultRowHeight="15" customHeight="1"/>
  <cols>
    <col min="1" max="1" width="28.83203125" bestFit="1" customWidth="1"/>
    <col min="2" max="2" width="15.1640625" style="3" customWidth="1"/>
    <col min="3" max="3" width="23.83203125" bestFit="1" customWidth="1"/>
    <col min="4" max="4" width="15.1640625" bestFit="1" customWidth="1"/>
    <col min="5" max="5" width="21" style="3" bestFit="1" customWidth="1"/>
    <col min="6" max="6" width="19.33203125" style="3" customWidth="1"/>
    <col min="7" max="7" width="19.83203125" customWidth="1"/>
    <col min="8" max="8" width="24.83203125" customWidth="1"/>
    <col min="9" max="9" width="23.83203125" customWidth="1"/>
    <col min="10" max="11" width="20.83203125" customWidth="1"/>
    <col min="12" max="12" width="18.83203125" customWidth="1"/>
    <col min="13" max="13" width="22.6640625" bestFit="1" customWidth="1"/>
    <col min="14" max="15" width="19.33203125" customWidth="1"/>
    <col min="16" max="16" width="18.83203125" bestFit="1" customWidth="1"/>
    <col min="17" max="17" width="17" style="15" bestFit="1" customWidth="1"/>
    <col min="18" max="18" width="17.83203125" bestFit="1" customWidth="1"/>
    <col min="19" max="19" width="12.6640625" bestFit="1" customWidth="1"/>
  </cols>
  <sheetData>
    <row r="1" spans="1:17" ht="24">
      <c r="A1" s="5" t="s">
        <v>0</v>
      </c>
      <c r="Q1"/>
    </row>
    <row r="2" spans="1:17">
      <c r="A2" s="4" t="s">
        <v>1</v>
      </c>
      <c r="Q2"/>
    </row>
    <row r="3" spans="1:17" ht="16">
      <c r="A3" s="4" t="s">
        <v>2</v>
      </c>
      <c r="J3" s="18" t="s">
        <v>524</v>
      </c>
      <c r="K3" s="18"/>
      <c r="N3" s="18" t="s">
        <v>525</v>
      </c>
      <c r="O3" s="18"/>
      <c r="Q3"/>
    </row>
    <row r="4" spans="1:17">
      <c r="J4" s="17">
        <f>SUM(J7:J183)</f>
        <v>193.46992991328054</v>
      </c>
      <c r="K4" s="17"/>
      <c r="N4" s="17">
        <f>SUM(N7:N183)</f>
        <v>528.7886127677757</v>
      </c>
      <c r="O4" s="17"/>
      <c r="Q4"/>
    </row>
    <row r="5" spans="1:17">
      <c r="E5" s="8"/>
      <c r="I5" s="9" t="s">
        <v>3</v>
      </c>
      <c r="J5" s="1" t="s">
        <v>4</v>
      </c>
      <c r="K5" s="1"/>
      <c r="L5" s="1" t="s">
        <v>5</v>
      </c>
      <c r="M5" s="1" t="s">
        <v>6</v>
      </c>
      <c r="N5" s="16" t="s">
        <v>522</v>
      </c>
      <c r="O5" s="16"/>
      <c r="P5" s="16"/>
      <c r="Q5"/>
    </row>
    <row r="6" spans="1:17" s="7" customFormat="1" ht="80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526</v>
      </c>
      <c r="L6" s="6" t="s">
        <v>17</v>
      </c>
      <c r="M6" s="6" t="s">
        <v>18</v>
      </c>
      <c r="N6" s="6" t="s">
        <v>19</v>
      </c>
      <c r="O6" s="6" t="s">
        <v>527</v>
      </c>
      <c r="P6" s="6" t="s">
        <v>20</v>
      </c>
      <c r="Q6" s="13" t="s">
        <v>523</v>
      </c>
    </row>
    <row r="7" spans="1:17">
      <c r="A7" t="s">
        <v>21</v>
      </c>
      <c r="B7" s="3">
        <v>161380201</v>
      </c>
      <c r="C7" t="s">
        <v>22</v>
      </c>
      <c r="D7" t="s">
        <v>23</v>
      </c>
      <c r="E7" s="3" t="s">
        <v>24</v>
      </c>
      <c r="F7" s="3">
        <v>2027</v>
      </c>
      <c r="G7" s="2">
        <v>4.3384469696969701</v>
      </c>
      <c r="H7" s="3" t="s">
        <v>25</v>
      </c>
      <c r="I7" s="3" t="s">
        <v>26</v>
      </c>
      <c r="J7" s="11">
        <v>0.468808227655577</v>
      </c>
      <c r="K7" s="11">
        <f>J7/J$4</f>
        <v>2.4231580993786059E-3</v>
      </c>
      <c r="L7" s="10">
        <v>4.0000000000000002E-4</v>
      </c>
      <c r="M7" s="3">
        <v>44.039000000000001</v>
      </c>
      <c r="N7" s="11">
        <v>0.225176949985325</v>
      </c>
      <c r="O7" s="11">
        <f>N7/N$4</f>
        <v>4.2583547479721229E-4</v>
      </c>
      <c r="P7" s="12">
        <v>7.1620411817367952E-4</v>
      </c>
      <c r="Q7" s="14">
        <f>IF(ISNUMBER(P7),L7/P7,"")</f>
        <v>0.5585</v>
      </c>
    </row>
    <row r="8" spans="1:17">
      <c r="A8" t="s">
        <v>27</v>
      </c>
      <c r="B8" s="3">
        <v>102211102</v>
      </c>
      <c r="C8" t="s">
        <v>28</v>
      </c>
      <c r="D8" t="s">
        <v>29</v>
      </c>
      <c r="E8" s="3" t="s">
        <v>24</v>
      </c>
      <c r="F8" s="3">
        <v>2026</v>
      </c>
      <c r="G8" s="2">
        <v>12.822159090909093</v>
      </c>
      <c r="H8" s="3" t="s">
        <v>25</v>
      </c>
      <c r="I8" s="3" t="s">
        <v>30</v>
      </c>
      <c r="J8" s="11">
        <v>1.9202974538274201E-2</v>
      </c>
      <c r="K8" s="11">
        <f t="shared" ref="K8:K71" si="0">J8/J$4</f>
        <v>9.9255602908842694E-5</v>
      </c>
      <c r="L8" s="10">
        <v>1E-3</v>
      </c>
      <c r="M8" s="3">
        <v>12.406000000000001</v>
      </c>
      <c r="N8" s="11">
        <v>13.462686016059401</v>
      </c>
      <c r="O8" s="11">
        <f t="shared" ref="O8:O71" si="1">N8/N$4</f>
        <v>2.5459485493821918E-2</v>
      </c>
      <c r="P8" s="12">
        <v>4.0286481647269475E-3</v>
      </c>
      <c r="Q8" s="14">
        <f t="shared" ref="Q8:Q71" si="2">IF(ISNUMBER(P8),L8/P8,"")</f>
        <v>0.24822222222222221</v>
      </c>
    </row>
    <row r="9" spans="1:17">
      <c r="A9" t="s">
        <v>31</v>
      </c>
      <c r="B9" s="3">
        <v>153662102</v>
      </c>
      <c r="C9" t="s">
        <v>32</v>
      </c>
      <c r="D9" t="s">
        <v>33</v>
      </c>
      <c r="E9" s="3" t="s">
        <v>24</v>
      </c>
      <c r="F9" s="3">
        <v>2028</v>
      </c>
      <c r="G9" s="2">
        <v>5</v>
      </c>
      <c r="H9" s="3" t="s">
        <v>25</v>
      </c>
      <c r="I9" s="3" t="s">
        <v>34</v>
      </c>
      <c r="J9" s="11">
        <v>3.1692808170555302E-2</v>
      </c>
      <c r="K9" s="11">
        <f t="shared" si="0"/>
        <v>1.638125789612941E-4</v>
      </c>
      <c r="L9" s="10">
        <v>1.2999999999999999E-3</v>
      </c>
      <c r="M9" s="3">
        <v>-158.21</v>
      </c>
      <c r="N9" s="11">
        <v>0.13517603278160001</v>
      </c>
      <c r="O9" s="11">
        <f t="shared" si="1"/>
        <v>2.5563340343897365E-4</v>
      </c>
      <c r="P9" s="12">
        <v>1.7905102954341988E-4</v>
      </c>
      <c r="Q9" s="14">
        <f t="shared" si="2"/>
        <v>7.2604999999999995</v>
      </c>
    </row>
    <row r="10" spans="1:17">
      <c r="A10" t="s">
        <v>35</v>
      </c>
      <c r="B10" s="3">
        <v>103381101</v>
      </c>
      <c r="C10" t="s">
        <v>36</v>
      </c>
      <c r="D10" t="s">
        <v>37</v>
      </c>
      <c r="E10" s="3" t="s">
        <v>38</v>
      </c>
      <c r="F10" s="3">
        <v>2028</v>
      </c>
      <c r="G10" s="2">
        <v>0.56000000000000005</v>
      </c>
      <c r="H10" s="3" t="s">
        <v>25</v>
      </c>
      <c r="I10" s="3" t="s">
        <v>39</v>
      </c>
      <c r="J10" s="11">
        <v>1.0496967205315999</v>
      </c>
      <c r="K10" s="11">
        <f t="shared" si="0"/>
        <v>5.425632401904047E-3</v>
      </c>
      <c r="L10" s="10">
        <v>2.3999999999999998E-3</v>
      </c>
      <c r="M10" s="3">
        <v>6.9429999999999996</v>
      </c>
      <c r="N10" s="11">
        <v>0.61899123969487801</v>
      </c>
      <c r="O10" s="11">
        <f t="shared" si="1"/>
        <v>1.1705835276122256E-3</v>
      </c>
      <c r="P10" s="12">
        <v>2.4261414503133395E-2</v>
      </c>
      <c r="Q10" s="14">
        <f t="shared" si="2"/>
        <v>9.8922509225092242E-2</v>
      </c>
    </row>
    <row r="11" spans="1:17">
      <c r="A11" t="s">
        <v>40</v>
      </c>
      <c r="B11" s="3">
        <v>157341101</v>
      </c>
      <c r="C11" t="s">
        <v>41</v>
      </c>
      <c r="D11" t="s">
        <v>42</v>
      </c>
      <c r="E11" s="3" t="s">
        <v>38</v>
      </c>
      <c r="F11" s="3">
        <v>2027</v>
      </c>
      <c r="G11" s="2">
        <v>0.65</v>
      </c>
      <c r="H11" s="3" t="s">
        <v>25</v>
      </c>
      <c r="I11" s="3" t="s">
        <v>43</v>
      </c>
      <c r="J11" s="11">
        <v>0.21260689312220299</v>
      </c>
      <c r="K11" s="11">
        <f t="shared" si="0"/>
        <v>1.0989144060655847E-3</v>
      </c>
      <c r="L11" s="10">
        <v>2.5999999999999999E-3</v>
      </c>
      <c r="M11" s="3">
        <v>8.5869999999999997</v>
      </c>
      <c r="N11" s="11">
        <v>9.0924199204891906E-2</v>
      </c>
      <c r="O11" s="11">
        <f t="shared" si="1"/>
        <v>1.7194810366467258E-4</v>
      </c>
      <c r="P11" s="12">
        <v>3.0796777081468218E-2</v>
      </c>
      <c r="Q11" s="14">
        <f t="shared" si="2"/>
        <v>8.4424418604651164E-2</v>
      </c>
    </row>
    <row r="12" spans="1:17">
      <c r="A12" t="s">
        <v>44</v>
      </c>
      <c r="B12" s="3">
        <v>12022212</v>
      </c>
      <c r="C12" t="s">
        <v>45</v>
      </c>
      <c r="D12" t="s">
        <v>46</v>
      </c>
      <c r="E12" s="3" t="s">
        <v>47</v>
      </c>
      <c r="F12" s="3">
        <v>2026</v>
      </c>
      <c r="G12" s="2">
        <v>0.78996212121212117</v>
      </c>
      <c r="H12" s="3" t="s">
        <v>25</v>
      </c>
      <c r="I12" s="3" t="s">
        <v>48</v>
      </c>
      <c r="J12" s="11">
        <v>2.27821059252592</v>
      </c>
      <c r="K12" s="11">
        <f t="shared" si="0"/>
        <v>1.1775528081015419E-2</v>
      </c>
      <c r="L12" s="10">
        <v>2.7000000000000001E-3</v>
      </c>
      <c r="M12" s="3">
        <v>7.3239999999999998</v>
      </c>
      <c r="N12" s="11">
        <v>4.7056476534344203</v>
      </c>
      <c r="O12" s="11">
        <f t="shared" si="1"/>
        <v>8.8989201730426924E-3</v>
      </c>
      <c r="P12" s="12">
        <v>1.3428827215756492E-3</v>
      </c>
      <c r="Q12" s="14">
        <f t="shared" si="2"/>
        <v>2.0106000000000002</v>
      </c>
    </row>
    <row r="13" spans="1:17">
      <c r="A13" t="s">
        <v>49</v>
      </c>
      <c r="B13" s="3">
        <v>163201101</v>
      </c>
      <c r="C13" t="s">
        <v>50</v>
      </c>
      <c r="D13" t="s">
        <v>23</v>
      </c>
      <c r="E13" s="3" t="s">
        <v>47</v>
      </c>
      <c r="F13" s="3">
        <v>2028</v>
      </c>
      <c r="G13" s="2">
        <v>6.2721590909090903</v>
      </c>
      <c r="H13" s="3" t="s">
        <v>25</v>
      </c>
      <c r="I13" s="3" t="s">
        <v>51</v>
      </c>
      <c r="J13" s="11">
        <v>1.3937906814460199</v>
      </c>
      <c r="K13" s="11">
        <f t="shared" si="0"/>
        <v>7.2041721525963331E-3</v>
      </c>
      <c r="L13" s="10">
        <v>2.8E-3</v>
      </c>
      <c r="M13" s="3">
        <v>6.726</v>
      </c>
      <c r="N13" s="11">
        <v>1.13034500758658</v>
      </c>
      <c r="O13" s="11">
        <f t="shared" si="1"/>
        <v>2.1376122334975196E-3</v>
      </c>
      <c r="P13" s="12">
        <v>1.9516562220232767E-2</v>
      </c>
      <c r="Q13" s="14">
        <f t="shared" si="2"/>
        <v>0.14346788990825687</v>
      </c>
    </row>
    <row r="14" spans="1:17">
      <c r="A14" t="s">
        <v>52</v>
      </c>
      <c r="B14" s="3">
        <v>103381102</v>
      </c>
      <c r="C14" t="s">
        <v>53</v>
      </c>
      <c r="D14" t="s">
        <v>37</v>
      </c>
      <c r="E14" s="3" t="s">
        <v>38</v>
      </c>
      <c r="F14" s="3">
        <v>2028</v>
      </c>
      <c r="G14" s="2">
        <v>1.4001893939393941</v>
      </c>
      <c r="H14" s="3" t="s">
        <v>25</v>
      </c>
      <c r="I14" s="3" t="s">
        <v>54</v>
      </c>
      <c r="J14" s="11">
        <v>1.9640504308645499</v>
      </c>
      <c r="K14" s="11">
        <f t="shared" si="0"/>
        <v>1.0151709011032881E-2</v>
      </c>
      <c r="L14" s="10">
        <v>3.0999999999999999E-3</v>
      </c>
      <c r="M14" s="3">
        <v>4.758</v>
      </c>
      <c r="N14" s="11">
        <v>1.4539717689040099</v>
      </c>
      <c r="O14" s="11">
        <f t="shared" si="1"/>
        <v>2.7496276088353291E-3</v>
      </c>
      <c r="P14" s="12">
        <v>2.3455684870188002E-2</v>
      </c>
      <c r="Q14" s="14">
        <f t="shared" si="2"/>
        <v>0.13216412213740458</v>
      </c>
    </row>
    <row r="15" spans="1:17">
      <c r="A15" t="s">
        <v>55</v>
      </c>
      <c r="B15" s="3">
        <v>42711101</v>
      </c>
      <c r="C15" t="s">
        <v>56</v>
      </c>
      <c r="D15" t="s">
        <v>57</v>
      </c>
      <c r="E15" s="3" t="s">
        <v>47</v>
      </c>
      <c r="F15" s="3">
        <v>2028</v>
      </c>
      <c r="G15" s="2">
        <v>2.85</v>
      </c>
      <c r="H15" s="3" t="s">
        <v>25</v>
      </c>
      <c r="I15" s="3" t="s">
        <v>58</v>
      </c>
      <c r="J15" s="11">
        <v>0.80806550722391601</v>
      </c>
      <c r="K15" s="11">
        <f t="shared" si="0"/>
        <v>4.1766981958701131E-3</v>
      </c>
      <c r="L15" s="10">
        <v>3.2000000000000002E-3</v>
      </c>
      <c r="M15" s="3">
        <v>8.3870000000000005</v>
      </c>
      <c r="N15" s="11">
        <v>0.41641984204761601</v>
      </c>
      <c r="O15" s="11">
        <f t="shared" si="1"/>
        <v>7.8749774861451506E-4</v>
      </c>
      <c r="P15" s="12">
        <v>3.4825425246195169E-2</v>
      </c>
      <c r="Q15" s="14">
        <f t="shared" si="2"/>
        <v>9.1886889460154234E-2</v>
      </c>
    </row>
    <row r="16" spans="1:17">
      <c r="A16" t="s">
        <v>59</v>
      </c>
      <c r="B16" s="3">
        <v>152282101</v>
      </c>
      <c r="C16" t="s">
        <v>60</v>
      </c>
      <c r="D16" t="s">
        <v>33</v>
      </c>
      <c r="E16" s="3" t="s">
        <v>38</v>
      </c>
      <c r="F16" s="3">
        <v>2025</v>
      </c>
      <c r="G16" s="2">
        <v>0.5107954545454545</v>
      </c>
      <c r="H16" s="3" t="s">
        <v>25</v>
      </c>
      <c r="I16" s="3" t="s">
        <v>61</v>
      </c>
      <c r="J16" s="11">
        <v>1.45531125158337E-2</v>
      </c>
      <c r="K16" s="11">
        <f t="shared" si="0"/>
        <v>7.5221573307835874E-5</v>
      </c>
      <c r="L16" s="10">
        <v>3.3E-3</v>
      </c>
      <c r="M16" s="3">
        <v>8.0389999999999997</v>
      </c>
      <c r="N16" s="11">
        <v>2.6347244158387101E-2</v>
      </c>
      <c r="O16" s="11">
        <f t="shared" si="1"/>
        <v>4.9825664778371143E-5</v>
      </c>
      <c r="P16" s="12">
        <v>9.4897045658012529E-3</v>
      </c>
      <c r="Q16" s="14">
        <f t="shared" si="2"/>
        <v>0.34774528301886792</v>
      </c>
    </row>
    <row r="17" spans="1:17">
      <c r="A17" t="s">
        <v>62</v>
      </c>
      <c r="B17" s="3">
        <v>152321101</v>
      </c>
      <c r="C17" t="s">
        <v>63</v>
      </c>
      <c r="D17" t="s">
        <v>64</v>
      </c>
      <c r="E17" s="3" t="s">
        <v>47</v>
      </c>
      <c r="F17" s="3">
        <v>2026</v>
      </c>
      <c r="G17" s="2">
        <v>0.27992424242424241</v>
      </c>
      <c r="H17" s="3" t="s">
        <v>25</v>
      </c>
      <c r="I17" s="3" t="s">
        <v>65</v>
      </c>
      <c r="J17" s="11">
        <v>0.55207731734175702</v>
      </c>
      <c r="K17" s="11">
        <f t="shared" si="0"/>
        <v>2.8535561965066917E-3</v>
      </c>
      <c r="L17" s="10">
        <v>3.3999999999999998E-3</v>
      </c>
      <c r="M17" s="3">
        <v>7.4790000000000001</v>
      </c>
      <c r="N17" s="11">
        <v>0.69691639242228098</v>
      </c>
      <c r="O17" s="11">
        <f t="shared" si="1"/>
        <v>1.3179489414011658E-3</v>
      </c>
      <c r="P17" s="12">
        <v>9.221128021486124E-3</v>
      </c>
      <c r="Q17" s="14">
        <f t="shared" si="2"/>
        <v>0.3687184466019417</v>
      </c>
    </row>
    <row r="18" spans="1:17">
      <c r="A18" t="s">
        <v>66</v>
      </c>
      <c r="B18" s="3">
        <v>251511101</v>
      </c>
      <c r="C18" t="s">
        <v>67</v>
      </c>
      <c r="D18" t="s">
        <v>68</v>
      </c>
      <c r="E18" s="3" t="s">
        <v>24</v>
      </c>
      <c r="F18" s="3">
        <v>2028</v>
      </c>
      <c r="G18" s="2">
        <v>3.806818181818182E-2</v>
      </c>
      <c r="H18" s="3" t="s">
        <v>25</v>
      </c>
      <c r="I18" s="3" t="s">
        <v>69</v>
      </c>
      <c r="J18" s="11">
        <v>8.5527538485193101E-3</v>
      </c>
      <c r="K18" s="11">
        <f t="shared" si="0"/>
        <v>4.420714812039747E-5</v>
      </c>
      <c r="L18" s="10">
        <v>3.7000000000000002E-3</v>
      </c>
      <c r="M18" s="3">
        <v>4.1349999999999998</v>
      </c>
      <c r="N18" s="11">
        <v>1.8060160625027399</v>
      </c>
      <c r="O18" s="11">
        <f t="shared" si="1"/>
        <v>3.4153838015719053E-3</v>
      </c>
      <c r="P18" s="12">
        <v>1.8531781557743956E-2</v>
      </c>
      <c r="Q18" s="14">
        <f t="shared" si="2"/>
        <v>0.19965700483091789</v>
      </c>
    </row>
    <row r="19" spans="1:17">
      <c r="A19" t="s">
        <v>70</v>
      </c>
      <c r="B19" s="3">
        <v>103031102</v>
      </c>
      <c r="C19" t="s">
        <v>71</v>
      </c>
      <c r="D19" t="s">
        <v>72</v>
      </c>
      <c r="E19" s="3" t="s">
        <v>47</v>
      </c>
      <c r="F19" s="3">
        <v>2028</v>
      </c>
      <c r="G19" s="2">
        <v>0.65000000000000013</v>
      </c>
      <c r="H19" s="3" t="s">
        <v>25</v>
      </c>
      <c r="I19" s="3" t="s">
        <v>43</v>
      </c>
      <c r="J19" s="11">
        <v>0.62693022738588</v>
      </c>
      <c r="K19" s="11">
        <f t="shared" si="0"/>
        <v>3.2404530650674778E-3</v>
      </c>
      <c r="L19" s="10">
        <v>3.8E-3</v>
      </c>
      <c r="M19" s="3">
        <v>7.1520000000000001</v>
      </c>
      <c r="N19" s="11">
        <v>0.72906508576124895</v>
      </c>
      <c r="O19" s="11">
        <f t="shared" si="1"/>
        <v>1.3787458128971231E-3</v>
      </c>
      <c r="P19" s="12">
        <v>1.1548791405550582E-2</v>
      </c>
      <c r="Q19" s="14">
        <f t="shared" si="2"/>
        <v>0.32903875968992247</v>
      </c>
    </row>
    <row r="20" spans="1:17">
      <c r="A20" t="s">
        <v>73</v>
      </c>
      <c r="B20" s="3">
        <v>43141101</v>
      </c>
      <c r="C20" t="s">
        <v>74</v>
      </c>
      <c r="D20" t="s">
        <v>75</v>
      </c>
      <c r="E20" s="3" t="s">
        <v>24</v>
      </c>
      <c r="F20" s="3">
        <v>2028</v>
      </c>
      <c r="G20" s="2">
        <v>16.010000000000002</v>
      </c>
      <c r="H20" s="3" t="s">
        <v>25</v>
      </c>
      <c r="I20" s="3" t="s">
        <v>76</v>
      </c>
      <c r="J20" s="11">
        <v>4.1801276201596798</v>
      </c>
      <c r="K20" s="11">
        <f t="shared" si="0"/>
        <v>2.1606084325524633E-2</v>
      </c>
      <c r="L20" s="10">
        <v>4.1999999999999997E-3</v>
      </c>
      <c r="M20" s="3">
        <v>8.8260000000000005</v>
      </c>
      <c r="N20" s="11">
        <v>4.6566173883557704</v>
      </c>
      <c r="O20" s="11">
        <f t="shared" si="1"/>
        <v>8.8061983104783387E-3</v>
      </c>
      <c r="P20" s="12">
        <v>1.656222023276634E-2</v>
      </c>
      <c r="Q20" s="14">
        <f t="shared" si="2"/>
        <v>0.25358918918918916</v>
      </c>
    </row>
    <row r="21" spans="1:17">
      <c r="A21" t="s">
        <v>77</v>
      </c>
      <c r="B21" s="3">
        <v>42821102</v>
      </c>
      <c r="C21" t="s">
        <v>78</v>
      </c>
      <c r="D21" t="s">
        <v>79</v>
      </c>
      <c r="E21" s="3" t="s">
        <v>47</v>
      </c>
      <c r="F21" s="3">
        <v>2027</v>
      </c>
      <c r="G21" s="2">
        <v>1.32</v>
      </c>
      <c r="H21" s="3" t="s">
        <v>25</v>
      </c>
      <c r="I21" s="3" t="s">
        <v>80</v>
      </c>
      <c r="J21" s="11">
        <v>5.0592925570427196</v>
      </c>
      <c r="K21" s="11">
        <f t="shared" si="0"/>
        <v>2.6150278543598263E-2</v>
      </c>
      <c r="L21" s="10">
        <v>4.4000000000000003E-3</v>
      </c>
      <c r="M21" s="3">
        <v>6.4969999999999999</v>
      </c>
      <c r="N21" s="11">
        <v>3.2600355736831199</v>
      </c>
      <c r="O21" s="11">
        <f t="shared" si="1"/>
        <v>6.1651016965352211E-3</v>
      </c>
      <c r="P21" s="12">
        <v>3.3482542524619519E-2</v>
      </c>
      <c r="Q21" s="14">
        <f t="shared" si="2"/>
        <v>0.13141176470588237</v>
      </c>
    </row>
    <row r="22" spans="1:17">
      <c r="A22" t="s">
        <v>81</v>
      </c>
      <c r="B22" s="3">
        <v>163111102</v>
      </c>
      <c r="C22" t="s">
        <v>82</v>
      </c>
      <c r="D22" t="s">
        <v>83</v>
      </c>
      <c r="E22" s="3" t="s">
        <v>84</v>
      </c>
      <c r="F22" s="3">
        <v>2028</v>
      </c>
      <c r="G22" s="2">
        <v>0.28541666666666665</v>
      </c>
      <c r="H22" s="3" t="s">
        <v>25</v>
      </c>
      <c r="I22" s="3" t="s">
        <v>65</v>
      </c>
      <c r="J22" s="11">
        <v>1.63355099285065</v>
      </c>
      <c r="K22" s="11">
        <f t="shared" si="0"/>
        <v>8.4434361121796045E-3</v>
      </c>
      <c r="L22" s="10">
        <v>4.4000000000000003E-3</v>
      </c>
      <c r="M22" s="3">
        <v>5.4749999999999996</v>
      </c>
      <c r="N22" s="11">
        <v>0.50124666205374502</v>
      </c>
      <c r="O22" s="11">
        <f t="shared" si="1"/>
        <v>9.479150079086024E-4</v>
      </c>
      <c r="P22" s="12">
        <v>6.7233661593554164E-2</v>
      </c>
      <c r="Q22" s="14">
        <f t="shared" si="2"/>
        <v>6.5443408788282295E-2</v>
      </c>
    </row>
    <row r="23" spans="1:17">
      <c r="A23" t="s">
        <v>85</v>
      </c>
      <c r="B23" s="3">
        <v>162161101</v>
      </c>
      <c r="C23" t="s">
        <v>86</v>
      </c>
      <c r="D23" t="s">
        <v>23</v>
      </c>
      <c r="E23" s="3" t="s">
        <v>38</v>
      </c>
      <c r="F23" s="3">
        <v>2025</v>
      </c>
      <c r="G23" s="2">
        <v>5.4649621212121211</v>
      </c>
      <c r="H23" s="3" t="s">
        <v>25</v>
      </c>
      <c r="I23" s="3" t="s">
        <v>87</v>
      </c>
      <c r="J23" s="11">
        <v>1.3015406053654901</v>
      </c>
      <c r="K23" s="11">
        <f t="shared" si="0"/>
        <v>6.7273534752862246E-3</v>
      </c>
      <c r="L23" s="10">
        <v>4.4999999999999997E-3</v>
      </c>
      <c r="M23" s="3">
        <v>6.1879999999999997</v>
      </c>
      <c r="N23" s="11">
        <v>1.9046547820325901</v>
      </c>
      <c r="O23" s="11">
        <f t="shared" si="1"/>
        <v>3.6019209492112185E-3</v>
      </c>
      <c r="P23" s="12">
        <v>1.0564010743061772E-2</v>
      </c>
      <c r="Q23" s="14">
        <f t="shared" si="2"/>
        <v>0.4259745762711864</v>
      </c>
    </row>
    <row r="24" spans="1:17">
      <c r="A24" t="s">
        <v>88</v>
      </c>
      <c r="B24" s="3">
        <v>152201101</v>
      </c>
      <c r="C24" t="s">
        <v>89</v>
      </c>
      <c r="D24" t="s">
        <v>42</v>
      </c>
      <c r="E24" s="3" t="s">
        <v>47</v>
      </c>
      <c r="F24" s="3">
        <v>2027</v>
      </c>
      <c r="G24" s="2">
        <v>7.52</v>
      </c>
      <c r="H24" s="3" t="s">
        <v>25</v>
      </c>
      <c r="I24" s="3" t="s">
        <v>90</v>
      </c>
      <c r="J24" s="11">
        <v>1.3120844592976</v>
      </c>
      <c r="K24" s="11">
        <f t="shared" si="0"/>
        <v>6.781852145631719E-3</v>
      </c>
      <c r="L24" s="10">
        <v>4.7999999999999996E-3</v>
      </c>
      <c r="M24" s="3">
        <v>5.8310000000000004</v>
      </c>
      <c r="N24" s="11">
        <v>2.48736117541557</v>
      </c>
      <c r="O24" s="11">
        <f t="shared" si="1"/>
        <v>4.7038856650037705E-3</v>
      </c>
      <c r="P24" s="12">
        <v>4.6553267681289168E-3</v>
      </c>
      <c r="Q24" s="14">
        <f t="shared" si="2"/>
        <v>1.031076923076923</v>
      </c>
    </row>
    <row r="25" spans="1:17">
      <c r="A25" t="s">
        <v>91</v>
      </c>
      <c r="B25" s="3">
        <v>12022212</v>
      </c>
      <c r="C25" t="s">
        <v>45</v>
      </c>
      <c r="D25" t="s">
        <v>46</v>
      </c>
      <c r="E25" s="3" t="s">
        <v>24</v>
      </c>
      <c r="F25" s="3">
        <v>2026</v>
      </c>
      <c r="G25" s="2">
        <v>4.3939393939393938E-2</v>
      </c>
      <c r="H25" s="3" t="s">
        <v>25</v>
      </c>
      <c r="I25" s="3" t="s">
        <v>92</v>
      </c>
      <c r="J25" s="11">
        <v>5.9511051953617402</v>
      </c>
      <c r="K25" s="11">
        <f t="shared" si="0"/>
        <v>3.0759845718811279E-2</v>
      </c>
      <c r="L25" s="10">
        <v>4.8999999999999998E-3</v>
      </c>
      <c r="M25" s="3">
        <v>6.968</v>
      </c>
      <c r="N25" s="11">
        <v>8.6689740058122808</v>
      </c>
      <c r="O25" s="11">
        <f t="shared" si="1"/>
        <v>1.6394025507541276E-2</v>
      </c>
      <c r="P25" s="12">
        <v>1.0295434198746643E-2</v>
      </c>
      <c r="Q25" s="14">
        <f t="shared" si="2"/>
        <v>0.47593913043478259</v>
      </c>
    </row>
    <row r="26" spans="1:17">
      <c r="A26" t="s">
        <v>93</v>
      </c>
      <c r="B26" s="3">
        <v>152101102</v>
      </c>
      <c r="C26" t="s">
        <v>94</v>
      </c>
      <c r="D26" t="s">
        <v>95</v>
      </c>
      <c r="E26" s="3" t="s">
        <v>47</v>
      </c>
      <c r="F26" s="3">
        <v>2026</v>
      </c>
      <c r="G26" s="2">
        <v>12.203712121212122</v>
      </c>
      <c r="H26" s="3" t="s">
        <v>25</v>
      </c>
      <c r="I26" s="3" t="s">
        <v>96</v>
      </c>
      <c r="J26" s="11">
        <v>3.8419343403960999</v>
      </c>
      <c r="K26" s="11">
        <f t="shared" si="0"/>
        <v>1.9858043790671649E-2</v>
      </c>
      <c r="L26" s="10">
        <v>5.1000000000000004E-3</v>
      </c>
      <c r="M26" s="3">
        <v>5.625</v>
      </c>
      <c r="N26" s="11">
        <v>8.3828265123738603</v>
      </c>
      <c r="O26" s="11">
        <f t="shared" si="1"/>
        <v>1.585288773239012E-2</v>
      </c>
      <c r="P26" s="12">
        <v>3.6705461056401076E-3</v>
      </c>
      <c r="Q26" s="14">
        <f t="shared" si="2"/>
        <v>1.3894390243902439</v>
      </c>
    </row>
    <row r="27" spans="1:17">
      <c r="A27" t="s">
        <v>97</v>
      </c>
      <c r="B27" s="3">
        <v>42031124</v>
      </c>
      <c r="C27" t="s">
        <v>98</v>
      </c>
      <c r="D27" t="s">
        <v>99</v>
      </c>
      <c r="E27" s="3" t="s">
        <v>47</v>
      </c>
      <c r="F27" s="3">
        <v>2028</v>
      </c>
      <c r="G27" s="2">
        <v>10.3</v>
      </c>
      <c r="H27" s="3" t="s">
        <v>25</v>
      </c>
      <c r="I27" s="3" t="s">
        <v>100</v>
      </c>
      <c r="J27" s="11">
        <v>1.59735850150335</v>
      </c>
      <c r="K27" s="11">
        <f t="shared" si="0"/>
        <v>8.2563657423111569E-3</v>
      </c>
      <c r="L27" s="10">
        <v>5.1999999999999998E-3</v>
      </c>
      <c r="M27" s="3">
        <v>11.571999999999999</v>
      </c>
      <c r="N27" s="11">
        <v>0.50512520756092205</v>
      </c>
      <c r="O27" s="11">
        <f t="shared" si="1"/>
        <v>9.5524978292744415E-4</v>
      </c>
      <c r="P27" s="12">
        <v>6.087735004476276E-2</v>
      </c>
      <c r="Q27" s="14">
        <f t="shared" si="2"/>
        <v>8.5417647058823529E-2</v>
      </c>
    </row>
    <row r="28" spans="1:17">
      <c r="A28" t="s">
        <v>101</v>
      </c>
      <c r="B28" s="3">
        <v>103732101</v>
      </c>
      <c r="C28" t="s">
        <v>102</v>
      </c>
      <c r="D28" t="s">
        <v>37</v>
      </c>
      <c r="E28" s="3" t="s">
        <v>38</v>
      </c>
      <c r="F28" s="3">
        <v>2028</v>
      </c>
      <c r="G28" s="2">
        <v>13.305681818181817</v>
      </c>
      <c r="H28" s="3" t="s">
        <v>25</v>
      </c>
      <c r="I28" s="3" t="s">
        <v>103</v>
      </c>
      <c r="J28" s="11">
        <v>2.38963651787317</v>
      </c>
      <c r="K28" s="11">
        <f t="shared" si="0"/>
        <v>1.2351462157164589E-2</v>
      </c>
      <c r="L28" s="10">
        <v>5.7000000000000002E-3</v>
      </c>
      <c r="M28" s="3">
        <v>5.3849999999999998</v>
      </c>
      <c r="N28" s="11">
        <v>1.6721436935840699</v>
      </c>
      <c r="O28" s="11">
        <f t="shared" si="1"/>
        <v>3.1622157762281715E-3</v>
      </c>
      <c r="P28" s="12">
        <v>3.5273052820053719E-2</v>
      </c>
      <c r="Q28" s="14">
        <f t="shared" si="2"/>
        <v>0.1615964467005076</v>
      </c>
    </row>
    <row r="29" spans="1:17">
      <c r="A29" t="s">
        <v>104</v>
      </c>
      <c r="B29" s="3">
        <v>103731101</v>
      </c>
      <c r="C29" t="s">
        <v>105</v>
      </c>
      <c r="D29" t="s">
        <v>37</v>
      </c>
      <c r="E29" s="3" t="s">
        <v>38</v>
      </c>
      <c r="F29" s="3">
        <v>2026</v>
      </c>
      <c r="G29" s="2">
        <v>0.67405303030303032</v>
      </c>
      <c r="H29" s="3" t="s">
        <v>25</v>
      </c>
      <c r="I29" s="3" t="s">
        <v>106</v>
      </c>
      <c r="J29" s="11">
        <v>2.4784503916520699E-2</v>
      </c>
      <c r="K29" s="11">
        <f t="shared" si="0"/>
        <v>1.2810519922982301E-4</v>
      </c>
      <c r="L29" s="10">
        <v>6.0000000000000001E-3</v>
      </c>
      <c r="M29" s="3">
        <v>5.8840000000000003</v>
      </c>
      <c r="N29" s="11">
        <v>0.25621099583804602</v>
      </c>
      <c r="O29" s="11">
        <f t="shared" si="1"/>
        <v>4.8452441987544156E-4</v>
      </c>
      <c r="P29" s="12">
        <v>9.3106535362578336E-3</v>
      </c>
      <c r="Q29" s="14">
        <f t="shared" si="2"/>
        <v>0.64442307692307688</v>
      </c>
    </row>
    <row r="30" spans="1:17">
      <c r="A30" t="s">
        <v>107</v>
      </c>
      <c r="B30" s="3">
        <v>163661702</v>
      </c>
      <c r="C30" t="s">
        <v>108</v>
      </c>
      <c r="D30" t="s">
        <v>109</v>
      </c>
      <c r="E30" s="3" t="s">
        <v>47</v>
      </c>
      <c r="F30" s="3">
        <v>2027</v>
      </c>
      <c r="G30" s="2">
        <v>0.42992424242424243</v>
      </c>
      <c r="H30" s="3" t="s">
        <v>25</v>
      </c>
      <c r="I30" s="3" t="s">
        <v>110</v>
      </c>
      <c r="J30" s="11">
        <v>0.106759646357099</v>
      </c>
      <c r="K30" s="11">
        <f t="shared" si="0"/>
        <v>5.5181519115116292E-4</v>
      </c>
      <c r="L30" s="10">
        <v>6.3E-3</v>
      </c>
      <c r="M30" s="3">
        <v>4.1059999999999999</v>
      </c>
      <c r="N30" s="11">
        <v>0.19953943602740701</v>
      </c>
      <c r="O30" s="11">
        <f t="shared" si="1"/>
        <v>3.7735199134297039E-4</v>
      </c>
      <c r="P30" s="12">
        <v>4.4762757385854966E-3</v>
      </c>
      <c r="Q30" s="14">
        <f t="shared" si="2"/>
        <v>1.4074200000000001</v>
      </c>
    </row>
    <row r="31" spans="1:17">
      <c r="A31" t="s">
        <v>111</v>
      </c>
      <c r="B31" s="3">
        <v>43432104</v>
      </c>
      <c r="C31" t="s">
        <v>112</v>
      </c>
      <c r="D31" t="s">
        <v>57</v>
      </c>
      <c r="E31" s="3" t="s">
        <v>47</v>
      </c>
      <c r="F31" s="3">
        <v>2025</v>
      </c>
      <c r="G31" s="2">
        <v>1.1579545454545455</v>
      </c>
      <c r="H31" s="3" t="s">
        <v>25</v>
      </c>
      <c r="I31" s="3" t="s">
        <v>113</v>
      </c>
      <c r="J31" s="11">
        <v>0.61059894031613204</v>
      </c>
      <c r="K31" s="11">
        <f t="shared" si="0"/>
        <v>3.1560405308970864E-3</v>
      </c>
      <c r="L31" s="10">
        <v>6.6E-3</v>
      </c>
      <c r="M31" s="3">
        <v>5.5650000000000004</v>
      </c>
      <c r="N31" s="11">
        <v>2.4841815488325598</v>
      </c>
      <c r="O31" s="11">
        <f t="shared" si="1"/>
        <v>4.6978726259438571E-3</v>
      </c>
      <c r="P31" s="12">
        <v>1.2533572068039391E-3</v>
      </c>
      <c r="Q31" s="14">
        <f t="shared" si="2"/>
        <v>5.2658571428571435</v>
      </c>
    </row>
    <row r="32" spans="1:17">
      <c r="A32" t="s">
        <v>114</v>
      </c>
      <c r="B32" s="3">
        <v>252691104</v>
      </c>
      <c r="C32" t="s">
        <v>115</v>
      </c>
      <c r="D32" t="s">
        <v>116</v>
      </c>
      <c r="E32" s="3" t="s">
        <v>38</v>
      </c>
      <c r="F32" s="3">
        <v>2026</v>
      </c>
      <c r="G32" s="2">
        <v>3.0772727272727272</v>
      </c>
      <c r="H32" s="3" t="s">
        <v>25</v>
      </c>
      <c r="I32" s="3" t="s">
        <v>117</v>
      </c>
      <c r="J32" s="11">
        <v>1.7437986650448101</v>
      </c>
      <c r="K32" s="11">
        <f t="shared" si="0"/>
        <v>9.0132800783379458E-3</v>
      </c>
      <c r="L32" s="10">
        <v>6.7999999999999996E-3</v>
      </c>
      <c r="M32" s="3">
        <v>3.7440000000000002</v>
      </c>
      <c r="N32" s="11">
        <v>11.9266369743272</v>
      </c>
      <c r="O32" s="11">
        <f t="shared" si="1"/>
        <v>2.2554640335201274E-2</v>
      </c>
      <c r="P32" s="12">
        <v>8.9525514771709937E-4</v>
      </c>
      <c r="Q32" s="14">
        <f t="shared" si="2"/>
        <v>7.5955999999999992</v>
      </c>
    </row>
    <row r="33" spans="1:17">
      <c r="A33" t="s">
        <v>118</v>
      </c>
      <c r="B33" s="3">
        <v>42811113</v>
      </c>
      <c r="C33" t="s">
        <v>119</v>
      </c>
      <c r="D33" t="s">
        <v>79</v>
      </c>
      <c r="E33" s="3" t="s">
        <v>47</v>
      </c>
      <c r="F33" s="3">
        <v>2028</v>
      </c>
      <c r="G33" s="2">
        <v>7.77</v>
      </c>
      <c r="H33" s="3" t="s">
        <v>25</v>
      </c>
      <c r="I33" s="3" t="s">
        <v>120</v>
      </c>
      <c r="J33" s="11">
        <v>0.68092085118047696</v>
      </c>
      <c r="K33" s="11">
        <f t="shared" si="0"/>
        <v>3.5195177435877897E-3</v>
      </c>
      <c r="L33" s="10">
        <v>6.8999999999999999E-3</v>
      </c>
      <c r="M33" s="3">
        <v>5.532</v>
      </c>
      <c r="N33" s="11">
        <v>7.02292074856814E-2</v>
      </c>
      <c r="O33" s="11">
        <f t="shared" si="1"/>
        <v>1.3281149743011477E-4</v>
      </c>
      <c r="P33" s="12">
        <v>0.12936436884512087</v>
      </c>
      <c r="Q33" s="14">
        <f t="shared" si="2"/>
        <v>5.3337716262975773E-2</v>
      </c>
    </row>
    <row r="34" spans="1:17">
      <c r="A34" t="s">
        <v>121</v>
      </c>
      <c r="B34" s="3">
        <v>83481110</v>
      </c>
      <c r="C34" t="s">
        <v>122</v>
      </c>
      <c r="D34" t="s">
        <v>123</v>
      </c>
      <c r="E34" s="3" t="s">
        <v>38</v>
      </c>
      <c r="F34" s="3">
        <v>2028</v>
      </c>
      <c r="G34" s="2">
        <v>6.8399621212121211</v>
      </c>
      <c r="H34" s="3" t="s">
        <v>25</v>
      </c>
      <c r="I34" s="3" t="s">
        <v>124</v>
      </c>
      <c r="J34" s="11">
        <v>0.92469592265400702</v>
      </c>
      <c r="K34" s="11">
        <f t="shared" si="0"/>
        <v>4.7795330420003024E-3</v>
      </c>
      <c r="L34" s="10">
        <v>7.0000000000000001E-3</v>
      </c>
      <c r="M34" s="3">
        <v>5.0819999999999999</v>
      </c>
      <c r="N34" s="11">
        <v>0.69173816998954796</v>
      </c>
      <c r="O34" s="11">
        <f t="shared" si="1"/>
        <v>1.3081563280435723E-3</v>
      </c>
      <c r="P34" s="12">
        <v>3.7958818263205012E-2</v>
      </c>
      <c r="Q34" s="14">
        <f t="shared" si="2"/>
        <v>0.18441037735849058</v>
      </c>
    </row>
    <row r="35" spans="1:17">
      <c r="A35" t="s">
        <v>125</v>
      </c>
      <c r="B35" s="3">
        <v>252931102</v>
      </c>
      <c r="C35" t="s">
        <v>126</v>
      </c>
      <c r="D35" t="s">
        <v>127</v>
      </c>
      <c r="E35" s="3" t="s">
        <v>38</v>
      </c>
      <c r="F35" s="3">
        <v>2025</v>
      </c>
      <c r="G35" s="2">
        <v>2.5017045454545457</v>
      </c>
      <c r="H35" s="3" t="s">
        <v>25</v>
      </c>
      <c r="I35" s="3" t="s">
        <v>128</v>
      </c>
      <c r="J35" s="11">
        <v>1.0598055275329701</v>
      </c>
      <c r="K35" s="11">
        <f t="shared" si="0"/>
        <v>5.477882418254915E-3</v>
      </c>
      <c r="L35" s="10">
        <v>7.1999999999999998E-3</v>
      </c>
      <c r="M35" s="3">
        <v>3.0249999999999999</v>
      </c>
      <c r="N35" s="11">
        <v>2.34842905025288</v>
      </c>
      <c r="O35" s="11">
        <f t="shared" si="1"/>
        <v>4.4411490594715641E-3</v>
      </c>
      <c r="P35" s="12">
        <v>6.4458370635631151E-3</v>
      </c>
      <c r="Q35" s="14">
        <f t="shared" si="2"/>
        <v>1.117</v>
      </c>
    </row>
    <row r="36" spans="1:17">
      <c r="A36" t="s">
        <v>129</v>
      </c>
      <c r="B36" s="3">
        <v>152762101</v>
      </c>
      <c r="C36" t="s">
        <v>130</v>
      </c>
      <c r="D36" t="s">
        <v>33</v>
      </c>
      <c r="E36" s="3" t="s">
        <v>47</v>
      </c>
      <c r="F36" s="3">
        <v>2026</v>
      </c>
      <c r="G36" s="2">
        <v>6.2422727272727272</v>
      </c>
      <c r="H36" s="3" t="s">
        <v>25</v>
      </c>
      <c r="I36" s="3" t="s">
        <v>131</v>
      </c>
      <c r="J36" s="11">
        <v>1.19577529198837</v>
      </c>
      <c r="K36" s="11">
        <f t="shared" si="0"/>
        <v>6.1806777545448796E-3</v>
      </c>
      <c r="L36" s="10">
        <v>7.3000000000000001E-3</v>
      </c>
      <c r="M36" s="3">
        <v>-56.637</v>
      </c>
      <c r="N36" s="11">
        <v>2.2121322102078298</v>
      </c>
      <c r="O36" s="11">
        <f t="shared" si="1"/>
        <v>4.1833960807686988E-3</v>
      </c>
      <c r="P36" s="12">
        <v>7.2515666965085046E-3</v>
      </c>
      <c r="Q36" s="14">
        <f t="shared" si="2"/>
        <v>1.006679012345679</v>
      </c>
    </row>
    <row r="37" spans="1:17">
      <c r="A37" t="s">
        <v>132</v>
      </c>
      <c r="B37" s="3">
        <v>43361102</v>
      </c>
      <c r="C37" t="s">
        <v>133</v>
      </c>
      <c r="D37" t="s">
        <v>75</v>
      </c>
      <c r="E37" s="3" t="s">
        <v>24</v>
      </c>
      <c r="F37" s="3">
        <v>2027</v>
      </c>
      <c r="G37" s="2">
        <v>6.3352272727272734</v>
      </c>
      <c r="H37" s="3" t="s">
        <v>25</v>
      </c>
      <c r="I37" s="3" t="s">
        <v>134</v>
      </c>
      <c r="J37" s="11">
        <v>2.9934858849389898</v>
      </c>
      <c r="K37" s="11">
        <f t="shared" si="0"/>
        <v>1.5472615751092517E-2</v>
      </c>
      <c r="L37" s="10">
        <v>7.4000000000000003E-3</v>
      </c>
      <c r="M37" s="3">
        <v>3.9670000000000001</v>
      </c>
      <c r="N37" s="11">
        <v>7.2759937576774902</v>
      </c>
      <c r="O37" s="11">
        <f t="shared" si="1"/>
        <v>1.3759739869574E-2</v>
      </c>
      <c r="P37" s="12">
        <v>2.5962399283795882E-3</v>
      </c>
      <c r="Q37" s="14">
        <f t="shared" si="2"/>
        <v>2.8502758620689654</v>
      </c>
    </row>
    <row r="38" spans="1:17">
      <c r="A38" t="s">
        <v>135</v>
      </c>
      <c r="B38" s="3">
        <v>162211101</v>
      </c>
      <c r="C38" t="s">
        <v>136</v>
      </c>
      <c r="D38" t="s">
        <v>137</v>
      </c>
      <c r="E38" s="3" t="s">
        <v>38</v>
      </c>
      <c r="F38" s="3">
        <v>2028</v>
      </c>
      <c r="G38" s="2">
        <v>3.01</v>
      </c>
      <c r="H38" s="3" t="s">
        <v>25</v>
      </c>
      <c r="I38" s="3" t="s">
        <v>138</v>
      </c>
      <c r="J38" s="11">
        <v>3.6669407334383699</v>
      </c>
      <c r="K38" s="11">
        <f t="shared" si="0"/>
        <v>1.8953543504574642E-2</v>
      </c>
      <c r="L38" s="10">
        <v>7.7000000000000002E-3</v>
      </c>
      <c r="M38" s="3">
        <v>3.5249999999999999</v>
      </c>
      <c r="N38" s="11">
        <v>3.7701758961193201</v>
      </c>
      <c r="O38" s="11">
        <f t="shared" si="1"/>
        <v>7.1298356376956274E-3</v>
      </c>
      <c r="P38" s="12">
        <v>2.9632945389435988E-2</v>
      </c>
      <c r="Q38" s="14">
        <f t="shared" si="2"/>
        <v>0.25984592145015106</v>
      </c>
    </row>
    <row r="39" spans="1:17">
      <c r="A39" t="s">
        <v>139</v>
      </c>
      <c r="B39" s="3">
        <v>42031124</v>
      </c>
      <c r="C39" t="s">
        <v>98</v>
      </c>
      <c r="D39" t="s">
        <v>99</v>
      </c>
      <c r="E39" s="3" t="s">
        <v>47</v>
      </c>
      <c r="F39" s="3">
        <v>2028</v>
      </c>
      <c r="G39" s="2">
        <v>5.19</v>
      </c>
      <c r="H39" s="3" t="s">
        <v>25</v>
      </c>
      <c r="I39" s="3" t="s">
        <v>140</v>
      </c>
      <c r="J39" s="11">
        <v>0.70890294851747404</v>
      </c>
      <c r="K39" s="11">
        <f t="shared" si="0"/>
        <v>3.6641505418192233E-3</v>
      </c>
      <c r="L39" s="10">
        <v>7.7999999999999996E-3</v>
      </c>
      <c r="M39" s="3">
        <v>5.8040000000000003</v>
      </c>
      <c r="N39" s="11">
        <v>0.27830924163572401</v>
      </c>
      <c r="O39" s="11">
        <f t="shared" si="1"/>
        <v>5.2631474074111174E-4</v>
      </c>
      <c r="P39" s="12">
        <v>6.3294538943598933E-2</v>
      </c>
      <c r="Q39" s="14">
        <f t="shared" si="2"/>
        <v>0.12323338048090521</v>
      </c>
    </row>
    <row r="40" spans="1:17">
      <c r="A40" t="s">
        <v>141</v>
      </c>
      <c r="B40" s="3">
        <v>167351102</v>
      </c>
      <c r="C40" t="s">
        <v>142</v>
      </c>
      <c r="D40" t="s">
        <v>23</v>
      </c>
      <c r="E40" s="3" t="s">
        <v>24</v>
      </c>
      <c r="F40" s="3">
        <v>2027</v>
      </c>
      <c r="G40" s="2">
        <v>12.579545454545455</v>
      </c>
      <c r="H40" s="3" t="s">
        <v>25</v>
      </c>
      <c r="I40" s="3" t="s">
        <v>143</v>
      </c>
      <c r="J40" s="11">
        <v>1.6767042969225401</v>
      </c>
      <c r="K40" s="11">
        <f t="shared" si="0"/>
        <v>8.66648526556087E-3</v>
      </c>
      <c r="L40" s="10">
        <v>7.9000000000000008E-3</v>
      </c>
      <c r="M40" s="3">
        <v>4.5369999999999999</v>
      </c>
      <c r="N40" s="11">
        <v>2.1846287299995302</v>
      </c>
      <c r="O40" s="11">
        <f t="shared" si="1"/>
        <v>4.1313838408221131E-3</v>
      </c>
      <c r="P40" s="12">
        <v>2.0859444941808414E-2</v>
      </c>
      <c r="Q40" s="14">
        <f t="shared" si="2"/>
        <v>0.37872532188841207</v>
      </c>
    </row>
    <row r="41" spans="1:17">
      <c r="A41" t="s">
        <v>144</v>
      </c>
      <c r="B41" s="3">
        <v>182631104</v>
      </c>
      <c r="C41" t="s">
        <v>145</v>
      </c>
      <c r="D41" t="s">
        <v>146</v>
      </c>
      <c r="E41" s="3" t="s">
        <v>47</v>
      </c>
      <c r="F41" s="3">
        <v>2028</v>
      </c>
      <c r="G41" s="2">
        <v>3.2</v>
      </c>
      <c r="H41" s="3" t="s">
        <v>25</v>
      </c>
      <c r="I41" s="3" t="s">
        <v>147</v>
      </c>
      <c r="J41" s="11">
        <v>1.2968183406371501</v>
      </c>
      <c r="K41" s="11">
        <f t="shared" si="0"/>
        <v>6.7029452133384546E-3</v>
      </c>
      <c r="L41" s="10">
        <v>8.2000000000000007E-3</v>
      </c>
      <c r="M41" s="3">
        <v>4.2549999999999999</v>
      </c>
      <c r="N41" s="11">
        <v>0.56284221941314105</v>
      </c>
      <c r="O41" s="11">
        <f t="shared" si="1"/>
        <v>1.0643992813444347E-3</v>
      </c>
      <c r="P41" s="12">
        <v>6.6517457475380487E-2</v>
      </c>
      <c r="Q41" s="14">
        <f t="shared" si="2"/>
        <v>0.12327590847913864</v>
      </c>
    </row>
    <row r="42" spans="1:17">
      <c r="A42" t="s">
        <v>148</v>
      </c>
      <c r="B42" s="3">
        <v>152301102</v>
      </c>
      <c r="C42" t="s">
        <v>149</v>
      </c>
      <c r="D42" t="s">
        <v>64</v>
      </c>
      <c r="E42" s="3" t="s">
        <v>47</v>
      </c>
      <c r="F42" s="3">
        <v>2028</v>
      </c>
      <c r="G42" s="2">
        <v>5.7990530303030301</v>
      </c>
      <c r="H42" s="3" t="s">
        <v>25</v>
      </c>
      <c r="I42" s="3" t="s">
        <v>150</v>
      </c>
      <c r="J42" s="11">
        <v>1.16065255293136</v>
      </c>
      <c r="K42" s="11">
        <f t="shared" si="0"/>
        <v>5.9991366795429241E-3</v>
      </c>
      <c r="L42" s="10">
        <v>8.3999999999999995E-3</v>
      </c>
      <c r="M42" s="3">
        <v>3.2970000000000002</v>
      </c>
      <c r="N42" s="11" t="s">
        <v>515</v>
      </c>
      <c r="O42" s="11" t="e">
        <f t="shared" si="1"/>
        <v>#VALUE!</v>
      </c>
      <c r="P42" s="11" t="s">
        <v>515</v>
      </c>
      <c r="Q42" s="14" t="str">
        <f t="shared" si="2"/>
        <v/>
      </c>
    </row>
    <row r="43" spans="1:17">
      <c r="A43" t="s">
        <v>151</v>
      </c>
      <c r="B43" s="3">
        <v>102211103</v>
      </c>
      <c r="C43" t="s">
        <v>152</v>
      </c>
      <c r="D43" t="s">
        <v>29</v>
      </c>
      <c r="E43" s="3" t="s">
        <v>47</v>
      </c>
      <c r="F43" s="3">
        <v>2028</v>
      </c>
      <c r="G43" s="2">
        <v>0.12000000000000001</v>
      </c>
      <c r="H43" s="3" t="s">
        <v>25</v>
      </c>
      <c r="I43" s="3" t="s">
        <v>153</v>
      </c>
      <c r="J43" s="11">
        <v>0.33842767247896999</v>
      </c>
      <c r="K43" s="11">
        <f t="shared" si="0"/>
        <v>1.7492520549868612E-3</v>
      </c>
      <c r="L43" s="10">
        <v>8.8000000000000005E-3</v>
      </c>
      <c r="M43" s="3">
        <v>5.0209999999999999</v>
      </c>
      <c r="N43" s="11">
        <v>0.38930150073853498</v>
      </c>
      <c r="O43" s="11">
        <f t="shared" si="1"/>
        <v>7.362138505609267E-4</v>
      </c>
      <c r="P43" s="12">
        <v>3.6168307967770812E-2</v>
      </c>
      <c r="Q43" s="14">
        <f t="shared" si="2"/>
        <v>0.24330693069306933</v>
      </c>
    </row>
    <row r="44" spans="1:17">
      <c r="A44" t="s">
        <v>154</v>
      </c>
      <c r="B44" s="3">
        <v>103751101</v>
      </c>
      <c r="C44" t="s">
        <v>155</v>
      </c>
      <c r="D44" t="s">
        <v>72</v>
      </c>
      <c r="E44" s="3" t="s">
        <v>47</v>
      </c>
      <c r="F44" s="3">
        <v>2028</v>
      </c>
      <c r="G44" s="2">
        <v>22.47</v>
      </c>
      <c r="H44" s="3" t="s">
        <v>25</v>
      </c>
      <c r="I44" s="3" t="s">
        <v>156</v>
      </c>
      <c r="J44" s="11">
        <v>3.3204126914644099</v>
      </c>
      <c r="K44" s="11">
        <f t="shared" si="0"/>
        <v>1.7162422568472144E-2</v>
      </c>
      <c r="L44" s="10">
        <v>8.9999999999999993E-3</v>
      </c>
      <c r="M44" s="3">
        <v>6.9180000000000001</v>
      </c>
      <c r="N44" s="11">
        <v>4.7070216895566102</v>
      </c>
      <c r="O44" s="11">
        <f t="shared" si="1"/>
        <v>8.9015186331626982E-3</v>
      </c>
      <c r="P44" s="12">
        <v>2.1844225604297225E-2</v>
      </c>
      <c r="Q44" s="14">
        <f t="shared" si="2"/>
        <v>0.41200819672131145</v>
      </c>
    </row>
    <row r="45" spans="1:17">
      <c r="A45" t="s">
        <v>157</v>
      </c>
      <c r="B45" s="3">
        <v>42851121</v>
      </c>
      <c r="C45" t="s">
        <v>158</v>
      </c>
      <c r="D45" t="s">
        <v>79</v>
      </c>
      <c r="E45" s="3" t="s">
        <v>24</v>
      </c>
      <c r="F45" s="3">
        <v>2028</v>
      </c>
      <c r="G45" s="2">
        <v>32.369999999999997</v>
      </c>
      <c r="H45" s="3" t="s">
        <v>25</v>
      </c>
      <c r="I45" s="3" t="s">
        <v>159</v>
      </c>
      <c r="J45" s="11">
        <v>3.3853796646937999</v>
      </c>
      <c r="K45" s="11">
        <f t="shared" si="0"/>
        <v>1.7498221383608483E-2</v>
      </c>
      <c r="L45" s="10">
        <v>9.2999999999999992E-3</v>
      </c>
      <c r="M45" s="3">
        <v>4.0570000000000004</v>
      </c>
      <c r="N45" s="11">
        <v>0.73399161234919996</v>
      </c>
      <c r="O45" s="11">
        <f t="shared" si="1"/>
        <v>1.3880624405040692E-3</v>
      </c>
      <c r="P45" s="12">
        <v>0.10975828111011639</v>
      </c>
      <c r="Q45" s="14">
        <f t="shared" si="2"/>
        <v>8.4731647634584004E-2</v>
      </c>
    </row>
    <row r="46" spans="1:17">
      <c r="A46" t="s">
        <v>160</v>
      </c>
      <c r="B46" s="3">
        <v>152101101</v>
      </c>
      <c r="C46" t="s">
        <v>161</v>
      </c>
      <c r="D46" t="s">
        <v>95</v>
      </c>
      <c r="E46" s="3" t="s">
        <v>47</v>
      </c>
      <c r="F46" s="3">
        <v>2027</v>
      </c>
      <c r="G46" s="2">
        <v>4.405492424242424</v>
      </c>
      <c r="H46" s="3" t="s">
        <v>25</v>
      </c>
      <c r="I46" s="3" t="s">
        <v>162</v>
      </c>
      <c r="J46" s="11">
        <v>0.56789353719721702</v>
      </c>
      <c r="K46" s="11">
        <f t="shared" si="0"/>
        <v>2.9353064708906714E-3</v>
      </c>
      <c r="L46" s="10">
        <v>9.4000000000000004E-3</v>
      </c>
      <c r="M46" s="3">
        <v>3.4969999999999999</v>
      </c>
      <c r="N46" s="11">
        <v>1.20002449290768</v>
      </c>
      <c r="O46" s="11">
        <f t="shared" si="1"/>
        <v>2.2693841431768616E-3</v>
      </c>
      <c r="P46" s="12">
        <v>1.1459265890778872E-2</v>
      </c>
      <c r="Q46" s="14">
        <f t="shared" si="2"/>
        <v>0.82029687500000004</v>
      </c>
    </row>
    <row r="47" spans="1:17">
      <c r="A47" t="s">
        <v>163</v>
      </c>
      <c r="B47" s="3">
        <v>162211101</v>
      </c>
      <c r="C47" t="s">
        <v>136</v>
      </c>
      <c r="D47" t="s">
        <v>137</v>
      </c>
      <c r="E47" s="3" t="s">
        <v>38</v>
      </c>
      <c r="F47" s="3">
        <v>2027</v>
      </c>
      <c r="G47" s="2">
        <v>5.5399999999999991</v>
      </c>
      <c r="H47" s="3" t="s">
        <v>25</v>
      </c>
      <c r="I47" s="3" t="s">
        <v>164</v>
      </c>
      <c r="J47" s="11">
        <v>2.0624479906765898</v>
      </c>
      <c r="K47" s="11">
        <f t="shared" si="0"/>
        <v>1.0660302567954852E-2</v>
      </c>
      <c r="L47" s="10">
        <v>9.4999999999999998E-3</v>
      </c>
      <c r="M47" s="3">
        <v>3.1440000000000001</v>
      </c>
      <c r="N47" s="11">
        <v>3.6329142592148802</v>
      </c>
      <c r="O47" s="11">
        <f t="shared" si="1"/>
        <v>6.8702581173212991E-3</v>
      </c>
      <c r="P47" s="12">
        <v>1.7726051924798567E-2</v>
      </c>
      <c r="Q47" s="14">
        <f t="shared" si="2"/>
        <v>0.53593434343434343</v>
      </c>
    </row>
    <row r="48" spans="1:17">
      <c r="A48" t="s">
        <v>165</v>
      </c>
      <c r="B48" s="3">
        <v>103732101</v>
      </c>
      <c r="C48" t="s">
        <v>102</v>
      </c>
      <c r="D48" t="s">
        <v>37</v>
      </c>
      <c r="E48" s="3" t="s">
        <v>38</v>
      </c>
      <c r="F48" s="3">
        <v>2025</v>
      </c>
      <c r="G48" s="2">
        <v>5.7433712121212119</v>
      </c>
      <c r="H48" s="3" t="s">
        <v>25</v>
      </c>
      <c r="I48" s="3" t="s">
        <v>166</v>
      </c>
      <c r="J48" s="11">
        <v>0.61588307087357697</v>
      </c>
      <c r="K48" s="11">
        <f t="shared" si="0"/>
        <v>3.1833529435278942E-3</v>
      </c>
      <c r="L48" s="10">
        <v>9.7000000000000003E-3</v>
      </c>
      <c r="M48" s="3">
        <v>6.6619999999999999</v>
      </c>
      <c r="N48" s="11">
        <v>0.79753875333699398</v>
      </c>
      <c r="O48" s="11">
        <f t="shared" si="1"/>
        <v>1.5082373827275349E-3</v>
      </c>
      <c r="P48" s="12">
        <v>2.9185317815577441E-2</v>
      </c>
      <c r="Q48" s="14">
        <f t="shared" si="2"/>
        <v>0.33235889570552146</v>
      </c>
    </row>
    <row r="49" spans="1:17">
      <c r="A49" t="s">
        <v>167</v>
      </c>
      <c r="B49" s="3">
        <v>152101101</v>
      </c>
      <c r="C49" t="s">
        <v>161</v>
      </c>
      <c r="D49" t="s">
        <v>95</v>
      </c>
      <c r="E49" s="3" t="s">
        <v>47</v>
      </c>
      <c r="F49" s="3">
        <v>2028</v>
      </c>
      <c r="G49" s="2">
        <v>3.7520454545454549</v>
      </c>
      <c r="H49" s="3" t="s">
        <v>25</v>
      </c>
      <c r="I49" s="3" t="s">
        <v>168</v>
      </c>
      <c r="J49" s="11">
        <v>1.5268351525952699</v>
      </c>
      <c r="K49" s="11">
        <f t="shared" si="0"/>
        <v>7.8918473443374201E-3</v>
      </c>
      <c r="L49" s="10">
        <v>9.7999999999999997E-3</v>
      </c>
      <c r="M49" s="3">
        <v>3.0710000000000002</v>
      </c>
      <c r="N49" s="11">
        <v>2.4553088239384402</v>
      </c>
      <c r="O49" s="11">
        <f t="shared" si="1"/>
        <v>4.6432709870337556E-3</v>
      </c>
      <c r="P49" s="12">
        <v>2.2739480752014325E-2</v>
      </c>
      <c r="Q49" s="14">
        <f t="shared" si="2"/>
        <v>0.43096850393700786</v>
      </c>
    </row>
    <row r="50" spans="1:17">
      <c r="A50" t="s">
        <v>169</v>
      </c>
      <c r="B50" s="3">
        <v>163661702</v>
      </c>
      <c r="C50" t="s">
        <v>108</v>
      </c>
      <c r="D50" t="s">
        <v>109</v>
      </c>
      <c r="E50" s="3" t="s">
        <v>47</v>
      </c>
      <c r="F50" s="3">
        <v>2028</v>
      </c>
      <c r="G50" s="2">
        <v>1.7399621212121212</v>
      </c>
      <c r="H50" s="3" t="s">
        <v>25</v>
      </c>
      <c r="I50" s="3" t="s">
        <v>170</v>
      </c>
      <c r="J50" s="11">
        <v>0.23429468535558101</v>
      </c>
      <c r="K50" s="11">
        <f t="shared" si="0"/>
        <v>1.2110134399728135E-3</v>
      </c>
      <c r="L50" s="10">
        <v>9.7999999999999997E-3</v>
      </c>
      <c r="M50" s="3">
        <v>2.7610000000000001</v>
      </c>
      <c r="N50" s="11">
        <v>0.403867744782473</v>
      </c>
      <c r="O50" s="11">
        <f t="shared" si="1"/>
        <v>7.6376029103303843E-4</v>
      </c>
      <c r="P50" s="12">
        <v>1.9337511190689348E-2</v>
      </c>
      <c r="Q50" s="14">
        <f t="shared" si="2"/>
        <v>0.50678703703703698</v>
      </c>
    </row>
    <row r="51" spans="1:17">
      <c r="A51" t="s">
        <v>171</v>
      </c>
      <c r="B51" s="3">
        <v>162161101</v>
      </c>
      <c r="C51" t="s">
        <v>86</v>
      </c>
      <c r="D51" t="s">
        <v>23</v>
      </c>
      <c r="E51" s="3" t="s">
        <v>38</v>
      </c>
      <c r="F51" s="3">
        <v>2025</v>
      </c>
      <c r="G51" s="2">
        <v>9.3498106060606059</v>
      </c>
      <c r="H51" s="3" t="s">
        <v>25</v>
      </c>
      <c r="I51" s="3" t="s">
        <v>172</v>
      </c>
      <c r="J51" s="11">
        <v>1.6266457508438801</v>
      </c>
      <c r="K51" s="11">
        <f t="shared" si="0"/>
        <v>8.407744560475083E-3</v>
      </c>
      <c r="L51" s="10">
        <v>9.9000000000000008E-3</v>
      </c>
      <c r="M51" s="3">
        <v>5.8890000000000002</v>
      </c>
      <c r="N51" s="11">
        <v>4.3702858820324701</v>
      </c>
      <c r="O51" s="11">
        <f t="shared" si="1"/>
        <v>8.2647125458273386E-3</v>
      </c>
      <c r="P51" s="12">
        <v>5.550581915846016E-3</v>
      </c>
      <c r="Q51" s="14">
        <f t="shared" si="2"/>
        <v>1.7835967741935486</v>
      </c>
    </row>
    <row r="52" spans="1:17">
      <c r="A52" t="s">
        <v>173</v>
      </c>
      <c r="B52" s="3">
        <v>103331101</v>
      </c>
      <c r="C52" t="s">
        <v>174</v>
      </c>
      <c r="D52" t="s">
        <v>175</v>
      </c>
      <c r="E52" s="3" t="s">
        <v>38</v>
      </c>
      <c r="F52" s="3">
        <v>2027</v>
      </c>
      <c r="G52" s="2">
        <v>2.2399999999999998</v>
      </c>
      <c r="H52" s="3" t="s">
        <v>25</v>
      </c>
      <c r="I52" s="3" t="s">
        <v>176</v>
      </c>
      <c r="J52" s="11">
        <v>3.0997958003767798</v>
      </c>
      <c r="K52" s="11">
        <f t="shared" si="0"/>
        <v>1.6022106390208589E-2</v>
      </c>
      <c r="L52" s="10">
        <v>0.01</v>
      </c>
      <c r="M52" s="3">
        <v>4.2430000000000003</v>
      </c>
      <c r="N52" s="11">
        <v>5.6966005245922098</v>
      </c>
      <c r="O52" s="11">
        <f t="shared" si="1"/>
        <v>1.0772925866869877E-2</v>
      </c>
      <c r="P52" s="12">
        <v>1.7367949865711729E-2</v>
      </c>
      <c r="Q52" s="14">
        <f t="shared" si="2"/>
        <v>0.57577319587628861</v>
      </c>
    </row>
    <row r="53" spans="1:17">
      <c r="A53" t="s">
        <v>177</v>
      </c>
      <c r="B53" s="3">
        <v>83481110</v>
      </c>
      <c r="C53" t="s">
        <v>122</v>
      </c>
      <c r="D53" t="s">
        <v>123</v>
      </c>
      <c r="E53" s="3" t="s">
        <v>38</v>
      </c>
      <c r="F53" s="3">
        <v>2028</v>
      </c>
      <c r="G53" s="2">
        <v>6.7398863636363631</v>
      </c>
      <c r="H53" s="3" t="s">
        <v>25</v>
      </c>
      <c r="I53" s="3" t="s">
        <v>178</v>
      </c>
      <c r="J53" s="11">
        <v>1.54719096337538</v>
      </c>
      <c r="K53" s="11">
        <f t="shared" si="0"/>
        <v>7.997061683274919E-3</v>
      </c>
      <c r="L53" s="10">
        <v>1.01E-2</v>
      </c>
      <c r="M53" s="3">
        <v>4.4740000000000002</v>
      </c>
      <c r="N53" s="11">
        <v>0.78784995046165296</v>
      </c>
      <c r="O53" s="11">
        <f t="shared" si="1"/>
        <v>1.4899147436967357E-3</v>
      </c>
      <c r="P53" s="12">
        <v>6.4816472694717991E-2</v>
      </c>
      <c r="Q53" s="14">
        <f t="shared" si="2"/>
        <v>0.15582458563535911</v>
      </c>
    </row>
    <row r="54" spans="1:17">
      <c r="A54" t="s">
        <v>179</v>
      </c>
      <c r="B54" s="3">
        <v>43432104</v>
      </c>
      <c r="C54" t="s">
        <v>112</v>
      </c>
      <c r="D54" t="s">
        <v>57</v>
      </c>
      <c r="E54" s="3" t="s">
        <v>47</v>
      </c>
      <c r="F54" s="3">
        <v>2027</v>
      </c>
      <c r="G54" s="2">
        <v>0.26</v>
      </c>
      <c r="H54" s="3" t="s">
        <v>25</v>
      </c>
      <c r="I54" s="3" t="s">
        <v>180</v>
      </c>
      <c r="J54" s="11">
        <v>8.6596085843505394E-2</v>
      </c>
      <c r="K54" s="11">
        <f t="shared" si="0"/>
        <v>4.4759454806398363E-4</v>
      </c>
      <c r="L54" s="10">
        <v>1.04E-2</v>
      </c>
      <c r="M54" s="3">
        <v>12.974</v>
      </c>
      <c r="N54" s="11">
        <v>3.26160252928578E-2</v>
      </c>
      <c r="O54" s="11">
        <f t="shared" si="1"/>
        <v>6.1680649895502843E-5</v>
      </c>
      <c r="P54" s="12">
        <v>7.8155774395702773E-2</v>
      </c>
      <c r="Q54" s="14">
        <f t="shared" si="2"/>
        <v>0.13306758304696448</v>
      </c>
    </row>
    <row r="55" spans="1:17">
      <c r="A55" t="s">
        <v>181</v>
      </c>
      <c r="B55" s="3">
        <v>102041104</v>
      </c>
      <c r="C55" t="s">
        <v>182</v>
      </c>
      <c r="D55" t="s">
        <v>72</v>
      </c>
      <c r="E55" s="3" t="s">
        <v>47</v>
      </c>
      <c r="F55" s="3">
        <v>2026</v>
      </c>
      <c r="G55" s="2">
        <v>12.831590909090911</v>
      </c>
      <c r="H55" s="3" t="s">
        <v>25</v>
      </c>
      <c r="I55" s="3" t="s">
        <v>183</v>
      </c>
      <c r="J55" s="11">
        <v>1.39424426867568</v>
      </c>
      <c r="K55" s="11">
        <f t="shared" si="0"/>
        <v>7.2065166369813917E-3</v>
      </c>
      <c r="L55" s="10">
        <v>1.0699999999999999E-2</v>
      </c>
      <c r="M55" s="3">
        <v>3.53</v>
      </c>
      <c r="N55" s="11">
        <v>4.9410610524937502</v>
      </c>
      <c r="O55" s="11">
        <f t="shared" si="1"/>
        <v>9.3441139487314955E-3</v>
      </c>
      <c r="P55" s="12">
        <v>3.3124440465532676E-3</v>
      </c>
      <c r="Q55" s="14">
        <f t="shared" si="2"/>
        <v>3.2302432432432431</v>
      </c>
    </row>
    <row r="56" spans="1:17">
      <c r="A56" t="s">
        <v>184</v>
      </c>
      <c r="B56" s="3">
        <v>153082106</v>
      </c>
      <c r="C56" t="s">
        <v>185</v>
      </c>
      <c r="D56" t="s">
        <v>33</v>
      </c>
      <c r="E56" s="3" t="s">
        <v>24</v>
      </c>
      <c r="F56" s="3">
        <v>2028</v>
      </c>
      <c r="G56" s="2">
        <v>11.800189393939394</v>
      </c>
      <c r="H56" s="3" t="s">
        <v>25</v>
      </c>
      <c r="I56" s="3" t="s">
        <v>186</v>
      </c>
      <c r="J56" s="11">
        <v>0.82377820008692804</v>
      </c>
      <c r="K56" s="11">
        <f t="shared" si="0"/>
        <v>4.2579133638812605E-3</v>
      </c>
      <c r="L56" s="10">
        <v>1.09E-2</v>
      </c>
      <c r="M56" s="3">
        <v>88.697000000000003</v>
      </c>
      <c r="N56" s="11">
        <v>1.28646988800513</v>
      </c>
      <c r="O56" s="11">
        <f t="shared" si="1"/>
        <v>2.432862313867753E-3</v>
      </c>
      <c r="P56" s="12">
        <v>2.0590868397493287E-2</v>
      </c>
      <c r="Q56" s="14">
        <f t="shared" si="2"/>
        <v>0.52936086956521733</v>
      </c>
    </row>
    <row r="57" spans="1:17">
      <c r="A57" t="s">
        <v>187</v>
      </c>
      <c r="B57" s="3">
        <v>12022212</v>
      </c>
      <c r="C57" t="s">
        <v>45</v>
      </c>
      <c r="D57" t="s">
        <v>46</v>
      </c>
      <c r="E57" s="3" t="s">
        <v>24</v>
      </c>
      <c r="F57" s="3">
        <v>2025</v>
      </c>
      <c r="G57" s="2">
        <v>0.5901515151515152</v>
      </c>
      <c r="H57" s="3" t="s">
        <v>25</v>
      </c>
      <c r="I57" s="3" t="s">
        <v>188</v>
      </c>
      <c r="J57" s="11">
        <v>0.17871792855277799</v>
      </c>
      <c r="K57" s="11">
        <f t="shared" si="0"/>
        <v>9.237504176121071E-4</v>
      </c>
      <c r="L57" s="10">
        <v>1.0999999999999999E-2</v>
      </c>
      <c r="M57" s="3">
        <v>9.3539999999999992</v>
      </c>
      <c r="N57" s="11">
        <v>0.44616583337301502</v>
      </c>
      <c r="O57" s="11">
        <f t="shared" si="1"/>
        <v>8.4375083464392688E-4</v>
      </c>
      <c r="P57" s="12">
        <v>8.9525514771709933E-3</v>
      </c>
      <c r="Q57" s="14">
        <f t="shared" si="2"/>
        <v>1.2286999999999999</v>
      </c>
    </row>
    <row r="58" spans="1:17">
      <c r="A58" t="s">
        <v>189</v>
      </c>
      <c r="B58" s="3">
        <v>152201102</v>
      </c>
      <c r="C58" t="s">
        <v>190</v>
      </c>
      <c r="D58" t="s">
        <v>95</v>
      </c>
      <c r="E58" s="3" t="s">
        <v>47</v>
      </c>
      <c r="F58" s="3">
        <v>2028</v>
      </c>
      <c r="G58" s="2">
        <v>13.124056818181819</v>
      </c>
      <c r="H58" s="3" t="s">
        <v>25</v>
      </c>
      <c r="I58" s="3" t="s">
        <v>191</v>
      </c>
      <c r="J58" s="11">
        <v>1.18891503164456</v>
      </c>
      <c r="K58" s="11">
        <f t="shared" si="0"/>
        <v>6.1452187023454761E-3</v>
      </c>
      <c r="L58" s="10">
        <v>1.12E-2</v>
      </c>
      <c r="M58" s="3">
        <v>3.125</v>
      </c>
      <c r="N58" s="11">
        <v>2.6532829780189702</v>
      </c>
      <c r="O58" s="11">
        <f t="shared" si="1"/>
        <v>5.0176628504369734E-3</v>
      </c>
      <c r="P58" s="12">
        <v>1.4503133393017009E-2</v>
      </c>
      <c r="Q58" s="14">
        <f t="shared" si="2"/>
        <v>0.77224691358024689</v>
      </c>
    </row>
    <row r="59" spans="1:17">
      <c r="A59" t="s">
        <v>192</v>
      </c>
      <c r="B59" s="3">
        <v>14241101</v>
      </c>
      <c r="C59" t="s">
        <v>193</v>
      </c>
      <c r="D59" t="s">
        <v>194</v>
      </c>
      <c r="E59" s="3" t="s">
        <v>47</v>
      </c>
      <c r="F59" s="3">
        <v>2028</v>
      </c>
      <c r="G59" s="2">
        <v>2.4699621212121214</v>
      </c>
      <c r="H59" s="3" t="s">
        <v>25</v>
      </c>
      <c r="I59" s="3" t="s">
        <v>195</v>
      </c>
      <c r="J59" s="11">
        <v>0.61136060600478304</v>
      </c>
      <c r="K59" s="11">
        <f t="shared" si="0"/>
        <v>3.1599773994791572E-3</v>
      </c>
      <c r="L59" s="10">
        <v>1.14E-2</v>
      </c>
      <c r="M59" s="3">
        <v>3.65</v>
      </c>
      <c r="N59" s="11" t="s">
        <v>515</v>
      </c>
      <c r="O59" s="11" t="e">
        <f t="shared" si="1"/>
        <v>#VALUE!</v>
      </c>
      <c r="P59" s="11" t="s">
        <v>515</v>
      </c>
      <c r="Q59" s="14" t="str">
        <f t="shared" si="2"/>
        <v/>
      </c>
    </row>
    <row r="60" spans="1:17">
      <c r="A60" t="s">
        <v>196</v>
      </c>
      <c r="B60" s="3">
        <v>152181101</v>
      </c>
      <c r="C60" t="s">
        <v>197</v>
      </c>
      <c r="D60" t="s">
        <v>64</v>
      </c>
      <c r="E60" s="3" t="s">
        <v>47</v>
      </c>
      <c r="F60" s="3">
        <v>2025</v>
      </c>
      <c r="G60" s="2">
        <v>3.4507575757575757</v>
      </c>
      <c r="H60" s="3" t="s">
        <v>25</v>
      </c>
      <c r="I60" s="3" t="s">
        <v>198</v>
      </c>
      <c r="J60" s="11">
        <v>1.44060097406676</v>
      </c>
      <c r="K60" s="11">
        <f t="shared" si="0"/>
        <v>7.4461234090097816E-3</v>
      </c>
      <c r="L60" s="10">
        <v>1.1599999999999999E-2</v>
      </c>
      <c r="M60" s="3">
        <v>6.1230000000000002</v>
      </c>
      <c r="N60" s="11">
        <v>3.8647045779071001</v>
      </c>
      <c r="O60" s="11">
        <f t="shared" si="1"/>
        <v>7.3086002319122075E-3</v>
      </c>
      <c r="P60" s="12">
        <v>1.0205908683974934E-2</v>
      </c>
      <c r="Q60" s="14">
        <f t="shared" si="2"/>
        <v>1.1365964912280699</v>
      </c>
    </row>
    <row r="61" spans="1:17">
      <c r="A61" t="s">
        <v>199</v>
      </c>
      <c r="B61" s="3">
        <v>152282101</v>
      </c>
      <c r="C61" t="s">
        <v>60</v>
      </c>
      <c r="D61" t="s">
        <v>33</v>
      </c>
      <c r="E61" s="3" t="s">
        <v>24</v>
      </c>
      <c r="F61" s="3">
        <v>2028</v>
      </c>
      <c r="G61" s="2">
        <v>28.090000000000003</v>
      </c>
      <c r="H61" s="3" t="s">
        <v>25</v>
      </c>
      <c r="I61" s="3" t="s">
        <v>200</v>
      </c>
      <c r="J61" s="11">
        <v>2.44383643027779</v>
      </c>
      <c r="K61" s="11">
        <f t="shared" si="0"/>
        <v>1.2631608598675754E-2</v>
      </c>
      <c r="L61" s="10">
        <v>1.17E-2</v>
      </c>
      <c r="M61" s="3">
        <v>4.9790000000000001</v>
      </c>
      <c r="N61" s="11">
        <v>2.8022438241023302</v>
      </c>
      <c r="O61" s="11">
        <f t="shared" si="1"/>
        <v>5.2993649190644946E-3</v>
      </c>
      <c r="P61" s="12">
        <v>3.4019695613249773E-2</v>
      </c>
      <c r="Q61" s="14">
        <f t="shared" si="2"/>
        <v>0.3439184210526316</v>
      </c>
    </row>
    <row r="62" spans="1:17">
      <c r="A62" t="s">
        <v>201</v>
      </c>
      <c r="B62" s="3">
        <v>42711101</v>
      </c>
      <c r="C62" t="s">
        <v>56</v>
      </c>
      <c r="D62" t="s">
        <v>79</v>
      </c>
      <c r="E62" s="3" t="s">
        <v>24</v>
      </c>
      <c r="F62" s="3">
        <v>2028</v>
      </c>
      <c r="G62" s="2">
        <v>2.29</v>
      </c>
      <c r="H62" s="3" t="s">
        <v>25</v>
      </c>
      <c r="I62" s="3" t="s">
        <v>202</v>
      </c>
      <c r="J62" s="11">
        <v>0.26722020102729299</v>
      </c>
      <c r="K62" s="11">
        <f t="shared" si="0"/>
        <v>1.3811975904838012E-3</v>
      </c>
      <c r="L62" s="10">
        <v>1.18E-2</v>
      </c>
      <c r="M62" s="3">
        <v>3.0270000000000001</v>
      </c>
      <c r="N62" s="11" t="s">
        <v>515</v>
      </c>
      <c r="O62" s="11" t="e">
        <f t="shared" si="1"/>
        <v>#VALUE!</v>
      </c>
      <c r="P62" s="11" t="s">
        <v>515</v>
      </c>
      <c r="Q62" s="14" t="str">
        <f t="shared" si="2"/>
        <v/>
      </c>
    </row>
    <row r="63" spans="1:17">
      <c r="A63" t="s">
        <v>203</v>
      </c>
      <c r="B63" s="3">
        <v>103732101</v>
      </c>
      <c r="C63" t="s">
        <v>102</v>
      </c>
      <c r="D63" t="s">
        <v>37</v>
      </c>
      <c r="E63" s="3" t="s">
        <v>38</v>
      </c>
      <c r="F63" s="3">
        <v>2028</v>
      </c>
      <c r="G63" s="2">
        <v>2.6500000000000004</v>
      </c>
      <c r="H63" s="3" t="s">
        <v>25</v>
      </c>
      <c r="I63" s="3" t="s">
        <v>204</v>
      </c>
      <c r="J63" s="11">
        <v>0.30943039534954198</v>
      </c>
      <c r="K63" s="11">
        <f t="shared" si="0"/>
        <v>1.5993720341359438E-3</v>
      </c>
      <c r="L63" s="10">
        <v>1.2E-2</v>
      </c>
      <c r="M63" s="3">
        <v>4.6239999999999997</v>
      </c>
      <c r="N63" s="11">
        <v>0.33167964253425403</v>
      </c>
      <c r="O63" s="11">
        <f t="shared" si="1"/>
        <v>6.2724429862092248E-4</v>
      </c>
      <c r="P63" s="12">
        <v>3.7600716204118173E-2</v>
      </c>
      <c r="Q63" s="14">
        <f t="shared" si="2"/>
        <v>0.31914285714285717</v>
      </c>
    </row>
    <row r="64" spans="1:17">
      <c r="A64" t="s">
        <v>205</v>
      </c>
      <c r="B64" s="3">
        <v>152301101</v>
      </c>
      <c r="C64" t="s">
        <v>206</v>
      </c>
      <c r="D64" t="s">
        <v>64</v>
      </c>
      <c r="E64" s="3" t="s">
        <v>47</v>
      </c>
      <c r="F64" s="3">
        <v>2026</v>
      </c>
      <c r="G64" s="2">
        <v>19.178750000000001</v>
      </c>
      <c r="H64" s="3" t="s">
        <v>25</v>
      </c>
      <c r="I64" s="3" t="s">
        <v>207</v>
      </c>
      <c r="J64" s="11">
        <v>1.7292045287861999</v>
      </c>
      <c r="K64" s="11">
        <f t="shared" si="0"/>
        <v>8.937846463071988E-3</v>
      </c>
      <c r="L64" s="10">
        <v>1.2200000000000001E-2</v>
      </c>
      <c r="M64" s="3">
        <v>6.1379999999999999</v>
      </c>
      <c r="N64" s="11">
        <v>8.3015483453345897</v>
      </c>
      <c r="O64" s="11">
        <f t="shared" si="1"/>
        <v>1.5699181383431796E-2</v>
      </c>
      <c r="P64" s="12">
        <v>1.7905102954341987E-3</v>
      </c>
      <c r="Q64" s="14">
        <f t="shared" si="2"/>
        <v>6.8137000000000008</v>
      </c>
    </row>
    <row r="65" spans="1:17">
      <c r="A65" t="s">
        <v>208</v>
      </c>
      <c r="B65" s="3">
        <v>254452101</v>
      </c>
      <c r="C65" t="s">
        <v>209</v>
      </c>
      <c r="D65" t="s">
        <v>210</v>
      </c>
      <c r="E65" s="3" t="s">
        <v>24</v>
      </c>
      <c r="F65" s="3">
        <v>2028</v>
      </c>
      <c r="G65" s="2">
        <v>6.0719000000000003</v>
      </c>
      <c r="H65" s="3" t="s">
        <v>25</v>
      </c>
      <c r="I65" s="3" t="s">
        <v>211</v>
      </c>
      <c r="J65" s="11">
        <v>2.3126090474933201</v>
      </c>
      <c r="K65" s="11">
        <f t="shared" si="0"/>
        <v>1.19533255040197E-2</v>
      </c>
      <c r="L65" s="10">
        <v>1.23E-2</v>
      </c>
      <c r="M65" s="3">
        <v>2.137</v>
      </c>
      <c r="N65" s="11">
        <v>3.9783739826671001</v>
      </c>
      <c r="O65" s="11">
        <f t="shared" si="1"/>
        <v>7.523562131649484E-3</v>
      </c>
      <c r="P65" s="12">
        <v>2.1665174574753806E-2</v>
      </c>
      <c r="Q65" s="14">
        <f t="shared" si="2"/>
        <v>0.56773140495867769</v>
      </c>
    </row>
    <row r="66" spans="1:17">
      <c r="A66" t="s">
        <v>212</v>
      </c>
      <c r="B66" s="3">
        <v>42031122</v>
      </c>
      <c r="C66" t="s">
        <v>213</v>
      </c>
      <c r="D66" t="s">
        <v>214</v>
      </c>
      <c r="E66" s="3" t="s">
        <v>24</v>
      </c>
      <c r="F66" s="3">
        <v>2028</v>
      </c>
      <c r="G66" s="2">
        <v>3.5512999999999999</v>
      </c>
      <c r="H66" s="3" t="s">
        <v>25</v>
      </c>
      <c r="I66" s="3" t="s">
        <v>215</v>
      </c>
      <c r="J66" s="11">
        <v>0.35612763173612999</v>
      </c>
      <c r="K66" s="11">
        <f t="shared" si="0"/>
        <v>1.8407389297952291E-3</v>
      </c>
      <c r="L66" s="10">
        <v>1.2500000000000001E-2</v>
      </c>
      <c r="M66" s="3">
        <v>9.7330000000000005</v>
      </c>
      <c r="N66" s="11">
        <v>5.8050742730301801E-2</v>
      </c>
      <c r="O66" s="11">
        <f t="shared" si="1"/>
        <v>1.0978062183762555E-4</v>
      </c>
      <c r="P66" s="12">
        <v>0.1224709042076992</v>
      </c>
      <c r="Q66" s="14">
        <f t="shared" si="2"/>
        <v>0.10206505847953216</v>
      </c>
    </row>
    <row r="67" spans="1:17">
      <c r="A67" t="s">
        <v>216</v>
      </c>
      <c r="B67" s="3">
        <v>163201102</v>
      </c>
      <c r="C67" t="s">
        <v>217</v>
      </c>
      <c r="D67" t="s">
        <v>218</v>
      </c>
      <c r="E67" s="3" t="s">
        <v>24</v>
      </c>
      <c r="F67" s="3">
        <v>2028</v>
      </c>
      <c r="G67" s="2">
        <v>15.6</v>
      </c>
      <c r="H67" s="3" t="s">
        <v>25</v>
      </c>
      <c r="I67" s="3" t="s">
        <v>219</v>
      </c>
      <c r="J67" s="11">
        <v>1.9740955204464099</v>
      </c>
      <c r="K67" s="11">
        <f t="shared" si="0"/>
        <v>1.0203629687214251E-2</v>
      </c>
      <c r="L67" s="10">
        <v>1.2500000000000001E-2</v>
      </c>
      <c r="M67" s="3">
        <v>2.6869999999999998</v>
      </c>
      <c r="N67" s="11">
        <v>4.6520037543377804</v>
      </c>
      <c r="O67" s="11">
        <f t="shared" si="1"/>
        <v>8.7974733986580147E-3</v>
      </c>
      <c r="P67" s="12">
        <v>1.378692927484333E-2</v>
      </c>
      <c r="Q67" s="14">
        <f t="shared" si="2"/>
        <v>0.90665584415584421</v>
      </c>
    </row>
    <row r="68" spans="1:17">
      <c r="A68" t="s">
        <v>220</v>
      </c>
      <c r="B68" s="3">
        <v>153661104</v>
      </c>
      <c r="C68" t="s">
        <v>221</v>
      </c>
      <c r="D68" t="s">
        <v>33</v>
      </c>
      <c r="E68" s="3" t="s">
        <v>47</v>
      </c>
      <c r="F68" s="3">
        <v>2028</v>
      </c>
      <c r="G68" s="2">
        <v>31.84</v>
      </c>
      <c r="H68" s="3" t="s">
        <v>25</v>
      </c>
      <c r="I68" s="3" t="s">
        <v>222</v>
      </c>
      <c r="J68" s="11">
        <v>3.0103315300934201</v>
      </c>
      <c r="K68" s="11">
        <f t="shared" si="0"/>
        <v>1.5559686879727242E-2</v>
      </c>
      <c r="L68" s="10">
        <v>1.2800000000000001E-2</v>
      </c>
      <c r="M68" s="3">
        <v>3.4630000000000001</v>
      </c>
      <c r="N68" s="11">
        <v>6.16390358137141</v>
      </c>
      <c r="O68" s="11">
        <f t="shared" si="1"/>
        <v>1.1656649618660316E-2</v>
      </c>
      <c r="P68" s="12">
        <v>1.7636526410026859E-2</v>
      </c>
      <c r="Q68" s="14">
        <f t="shared" si="2"/>
        <v>0.72576649746192889</v>
      </c>
    </row>
    <row r="69" spans="1:17">
      <c r="A69" t="s">
        <v>223</v>
      </c>
      <c r="B69" s="3">
        <v>43311102</v>
      </c>
      <c r="C69" t="s">
        <v>224</v>
      </c>
      <c r="D69" t="s">
        <v>225</v>
      </c>
      <c r="E69" s="3" t="s">
        <v>38</v>
      </c>
      <c r="F69" s="3">
        <v>2028</v>
      </c>
      <c r="G69" s="2">
        <v>3.0125000000000002</v>
      </c>
      <c r="H69" s="3" t="s">
        <v>25</v>
      </c>
      <c r="I69" s="3" t="s">
        <v>226</v>
      </c>
      <c r="J69" s="11">
        <v>0.31490284379896499</v>
      </c>
      <c r="K69" s="11">
        <f t="shared" si="0"/>
        <v>1.627657817109432E-3</v>
      </c>
      <c r="L69" s="10">
        <v>1.29E-2</v>
      </c>
      <c r="M69" s="3">
        <v>2.9260000000000002</v>
      </c>
      <c r="N69" s="11">
        <v>0.401812921053533</v>
      </c>
      <c r="O69" s="11">
        <f t="shared" si="1"/>
        <v>7.5987438335778671E-4</v>
      </c>
      <c r="P69" s="12">
        <v>2.9722470904207699E-2</v>
      </c>
      <c r="Q69" s="14">
        <f t="shared" si="2"/>
        <v>0.43401506024096387</v>
      </c>
    </row>
    <row r="70" spans="1:17">
      <c r="A70" t="s">
        <v>227</v>
      </c>
      <c r="B70" s="3">
        <v>101321101</v>
      </c>
      <c r="C70" t="s">
        <v>105</v>
      </c>
      <c r="D70" t="s">
        <v>228</v>
      </c>
      <c r="E70" s="3" t="s">
        <v>38</v>
      </c>
      <c r="F70" s="3">
        <v>2028</v>
      </c>
      <c r="G70" s="2">
        <v>1.425</v>
      </c>
      <c r="H70" s="3" t="s">
        <v>25</v>
      </c>
      <c r="I70" s="3" t="s">
        <v>229</v>
      </c>
      <c r="J70" s="11">
        <v>0.53575428203082698</v>
      </c>
      <c r="K70" s="11">
        <f t="shared" si="0"/>
        <v>2.7691863137127787E-3</v>
      </c>
      <c r="L70" s="10">
        <v>1.2999999999999999E-2</v>
      </c>
      <c r="M70" s="3">
        <v>3.4049999999999998</v>
      </c>
      <c r="N70" s="11">
        <v>0.59510639464133397</v>
      </c>
      <c r="O70" s="11">
        <f t="shared" si="1"/>
        <v>1.1254145423564227E-3</v>
      </c>
      <c r="P70" s="12">
        <v>3.5989256938227396E-2</v>
      </c>
      <c r="Q70" s="14">
        <f t="shared" si="2"/>
        <v>0.3612189054726368</v>
      </c>
    </row>
    <row r="71" spans="1:17">
      <c r="A71" t="s">
        <v>230</v>
      </c>
      <c r="B71" s="3">
        <v>83371107</v>
      </c>
      <c r="C71" t="s">
        <v>231</v>
      </c>
      <c r="D71" t="s">
        <v>232</v>
      </c>
      <c r="E71" s="3" t="s">
        <v>24</v>
      </c>
      <c r="F71" s="3">
        <v>2028</v>
      </c>
      <c r="G71" s="2">
        <v>9.1661000000000001</v>
      </c>
      <c r="H71" s="3" t="s">
        <v>25</v>
      </c>
      <c r="I71" s="3" t="s">
        <v>233</v>
      </c>
      <c r="J71" s="11">
        <v>0.855475832989394</v>
      </c>
      <c r="K71" s="11">
        <f t="shared" si="0"/>
        <v>4.4217508807329687E-3</v>
      </c>
      <c r="L71" s="10">
        <v>1.3100000000000001E-2</v>
      </c>
      <c r="M71" s="3">
        <v>4.0860000000000003</v>
      </c>
      <c r="N71" s="11" t="s">
        <v>515</v>
      </c>
      <c r="O71" s="11" t="e">
        <f t="shared" si="1"/>
        <v>#VALUE!</v>
      </c>
      <c r="P71" s="11" t="s">
        <v>515</v>
      </c>
      <c r="Q71" s="14" t="str">
        <f t="shared" si="2"/>
        <v/>
      </c>
    </row>
    <row r="72" spans="1:17">
      <c r="A72" t="s">
        <v>234</v>
      </c>
      <c r="B72" s="3">
        <v>43432104</v>
      </c>
      <c r="C72" t="s">
        <v>112</v>
      </c>
      <c r="D72" t="s">
        <v>57</v>
      </c>
      <c r="E72" s="3" t="s">
        <v>47</v>
      </c>
      <c r="F72" s="3">
        <v>2027</v>
      </c>
      <c r="G72" s="2">
        <v>16.659727272727274</v>
      </c>
      <c r="H72" s="3" t="s">
        <v>25</v>
      </c>
      <c r="I72" s="3" t="s">
        <v>235</v>
      </c>
      <c r="J72" s="11">
        <v>1.31357204180705</v>
      </c>
      <c r="K72" s="11">
        <f t="shared" ref="K72:K135" si="3">J72/J$4</f>
        <v>6.7895411054102071E-3</v>
      </c>
      <c r="L72" s="10">
        <v>1.32E-2</v>
      </c>
      <c r="M72" s="3">
        <v>6.4390000000000001</v>
      </c>
      <c r="N72" s="11">
        <v>3.9905845250371601</v>
      </c>
      <c r="O72" s="11">
        <f t="shared" ref="O72:O135" si="4">N72/N$4</f>
        <v>7.5466536696955624E-3</v>
      </c>
      <c r="P72" s="12">
        <v>9.0420769919427029E-3</v>
      </c>
      <c r="Q72" s="14">
        <f t="shared" ref="Q72:Q135" si="5">IF(ISNUMBER(P72),L72/P72,"")</f>
        <v>1.459841584158416</v>
      </c>
    </row>
    <row r="73" spans="1:17">
      <c r="A73" t="s">
        <v>236</v>
      </c>
      <c r="B73" s="3">
        <v>162161101</v>
      </c>
      <c r="C73" t="s">
        <v>86</v>
      </c>
      <c r="D73" t="s">
        <v>237</v>
      </c>
      <c r="E73" s="3" t="s">
        <v>38</v>
      </c>
      <c r="F73" s="3">
        <v>2028</v>
      </c>
      <c r="G73" s="2">
        <v>7.2750000000000004</v>
      </c>
      <c r="H73" s="3" t="s">
        <v>25</v>
      </c>
      <c r="I73" s="3" t="s">
        <v>238</v>
      </c>
      <c r="J73" s="11">
        <v>2.6802289170735998</v>
      </c>
      <c r="K73" s="11">
        <f t="shared" si="3"/>
        <v>1.3853465074779138E-2</v>
      </c>
      <c r="L73" s="10">
        <v>1.34E-2</v>
      </c>
      <c r="M73" s="3">
        <v>3.4889999999999999</v>
      </c>
      <c r="N73" s="11">
        <v>4.6904531837208197</v>
      </c>
      <c r="O73" s="11">
        <f t="shared" si="4"/>
        <v>8.8701856856752935E-3</v>
      </c>
      <c r="P73" s="12">
        <v>2.2470904207699195E-2</v>
      </c>
      <c r="Q73" s="14">
        <f t="shared" si="5"/>
        <v>0.59632669322709164</v>
      </c>
    </row>
    <row r="74" spans="1:17">
      <c r="A74" t="s">
        <v>239</v>
      </c>
      <c r="B74" s="3">
        <v>162211101</v>
      </c>
      <c r="C74" t="s">
        <v>136</v>
      </c>
      <c r="D74" t="s">
        <v>218</v>
      </c>
      <c r="E74" s="3" t="s">
        <v>24</v>
      </c>
      <c r="F74" s="3">
        <v>2028</v>
      </c>
      <c r="G74" s="2">
        <v>21.512499999999999</v>
      </c>
      <c r="H74" s="3" t="s">
        <v>25</v>
      </c>
      <c r="I74" s="3" t="s">
        <v>240</v>
      </c>
      <c r="J74" s="11">
        <v>1.95394359361176</v>
      </c>
      <c r="K74" s="11">
        <f t="shared" si="3"/>
        <v>1.00994691758434E-2</v>
      </c>
      <c r="L74" s="10">
        <v>1.37E-2</v>
      </c>
      <c r="M74" s="3">
        <v>2.762</v>
      </c>
      <c r="N74" s="11">
        <v>3.4527649009833099</v>
      </c>
      <c r="O74" s="11">
        <f t="shared" si="4"/>
        <v>6.5295749901097735E-3</v>
      </c>
      <c r="P74" s="12">
        <v>2.3276633840644583E-2</v>
      </c>
      <c r="Q74" s="14">
        <f t="shared" si="5"/>
        <v>0.58857307692307692</v>
      </c>
    </row>
    <row r="75" spans="1:17">
      <c r="A75" t="s">
        <v>241</v>
      </c>
      <c r="B75" s="3">
        <v>153082106</v>
      </c>
      <c r="C75" t="s">
        <v>185</v>
      </c>
      <c r="D75" t="s">
        <v>242</v>
      </c>
      <c r="E75" s="3" t="s">
        <v>24</v>
      </c>
      <c r="F75" s="3">
        <v>2028</v>
      </c>
      <c r="G75" s="2">
        <v>23.165600000000001</v>
      </c>
      <c r="H75" s="3" t="s">
        <v>25</v>
      </c>
      <c r="I75" s="3" t="s">
        <v>243</v>
      </c>
      <c r="J75" s="11">
        <v>2.8205299814912799</v>
      </c>
      <c r="K75" s="11">
        <f t="shared" si="3"/>
        <v>1.4578647869234938E-2</v>
      </c>
      <c r="L75" s="10">
        <v>1.38E-2</v>
      </c>
      <c r="M75" s="3">
        <v>4.4779999999999998</v>
      </c>
      <c r="N75" s="11">
        <v>5.4989846624293897</v>
      </c>
      <c r="O75" s="11">
        <f t="shared" si="4"/>
        <v>1.0399211574634151E-2</v>
      </c>
      <c r="P75" s="12">
        <v>2.1128021486123544E-2</v>
      </c>
      <c r="Q75" s="14">
        <f t="shared" si="5"/>
        <v>0.65316101694915252</v>
      </c>
    </row>
    <row r="76" spans="1:17">
      <c r="A76" t="s">
        <v>244</v>
      </c>
      <c r="B76" s="3">
        <v>254061103</v>
      </c>
      <c r="C76" t="s">
        <v>245</v>
      </c>
      <c r="D76" t="s">
        <v>246</v>
      </c>
      <c r="E76" s="3" t="s">
        <v>38</v>
      </c>
      <c r="F76" s="3">
        <v>2028</v>
      </c>
      <c r="G76" s="2">
        <v>1.7281</v>
      </c>
      <c r="H76" s="3" t="s">
        <v>25</v>
      </c>
      <c r="I76" s="3" t="s">
        <v>170</v>
      </c>
      <c r="J76" s="11">
        <v>0.62850980904262999</v>
      </c>
      <c r="K76" s="11">
        <f t="shared" si="3"/>
        <v>3.2486175465321582E-3</v>
      </c>
      <c r="L76" s="10">
        <v>1.38E-2</v>
      </c>
      <c r="M76" s="3">
        <v>2.2290000000000001</v>
      </c>
      <c r="N76" s="11">
        <v>0.45572104354505399</v>
      </c>
      <c r="O76" s="11">
        <f t="shared" si="4"/>
        <v>8.6182083452918405E-4</v>
      </c>
      <c r="P76" s="12">
        <v>5.3088630259623994E-2</v>
      </c>
      <c r="Q76" s="14">
        <f t="shared" si="5"/>
        <v>0.25994266441821245</v>
      </c>
    </row>
    <row r="77" spans="1:17">
      <c r="A77" t="s">
        <v>247</v>
      </c>
      <c r="B77" s="3">
        <v>43432104</v>
      </c>
      <c r="C77" t="s">
        <v>112</v>
      </c>
      <c r="D77" t="s">
        <v>57</v>
      </c>
      <c r="E77" s="3" t="s">
        <v>47</v>
      </c>
      <c r="F77" s="3">
        <v>2026</v>
      </c>
      <c r="G77" s="2">
        <v>26.210719696969701</v>
      </c>
      <c r="H77" s="3" t="s">
        <v>25</v>
      </c>
      <c r="I77" s="3" t="s">
        <v>248</v>
      </c>
      <c r="J77" s="11">
        <v>2.0683088164126699</v>
      </c>
      <c r="K77" s="11">
        <f t="shared" si="3"/>
        <v>1.0690595780645358E-2</v>
      </c>
      <c r="L77" s="10">
        <v>1.3899999999999999E-2</v>
      </c>
      <c r="M77" s="3">
        <v>5.8339999999999996</v>
      </c>
      <c r="N77" s="11">
        <v>7.1206400486180401</v>
      </c>
      <c r="O77" s="11">
        <f t="shared" si="4"/>
        <v>1.3465948162815601E-2</v>
      </c>
      <c r="P77" s="12">
        <v>5.2820053715308861E-3</v>
      </c>
      <c r="Q77" s="14">
        <f t="shared" si="5"/>
        <v>2.6315762711864408</v>
      </c>
    </row>
    <row r="78" spans="1:17">
      <c r="A78" t="s">
        <v>249</v>
      </c>
      <c r="B78" s="3">
        <v>182721102</v>
      </c>
      <c r="C78" t="s">
        <v>250</v>
      </c>
      <c r="D78" t="s">
        <v>251</v>
      </c>
      <c r="E78" s="3" t="s">
        <v>24</v>
      </c>
      <c r="F78" s="3">
        <v>2028</v>
      </c>
      <c r="G78" s="2">
        <v>10.3163</v>
      </c>
      <c r="H78" s="3" t="s">
        <v>25</v>
      </c>
      <c r="I78" s="3" t="s">
        <v>252</v>
      </c>
      <c r="J78" s="11">
        <v>1.95005242022617</v>
      </c>
      <c r="K78" s="11">
        <f t="shared" si="3"/>
        <v>1.0079356627152583E-2</v>
      </c>
      <c r="L78" s="10">
        <v>1.4E-2</v>
      </c>
      <c r="M78" s="3">
        <v>7.31</v>
      </c>
      <c r="N78" s="11">
        <v>0.69780658126603601</v>
      </c>
      <c r="O78" s="11">
        <f t="shared" si="4"/>
        <v>1.3196323907460668E-3</v>
      </c>
      <c r="P78" s="12">
        <v>9.247985675917636E-2</v>
      </c>
      <c r="Q78" s="14">
        <f t="shared" si="5"/>
        <v>0.15138431752178122</v>
      </c>
    </row>
    <row r="79" spans="1:17">
      <c r="A79" t="s">
        <v>253</v>
      </c>
      <c r="B79" s="3">
        <v>152431101</v>
      </c>
      <c r="C79" t="s">
        <v>254</v>
      </c>
      <c r="D79" t="s">
        <v>255</v>
      </c>
      <c r="E79" s="3" t="s">
        <v>38</v>
      </c>
      <c r="F79" s="3">
        <v>2028</v>
      </c>
      <c r="G79" s="2">
        <v>15.2616</v>
      </c>
      <c r="H79" s="3" t="s">
        <v>25</v>
      </c>
      <c r="I79" s="3" t="s">
        <v>256</v>
      </c>
      <c r="J79" s="11">
        <v>1.87797625961223</v>
      </c>
      <c r="K79" s="11">
        <f t="shared" si="3"/>
        <v>9.706812115216042E-3</v>
      </c>
      <c r="L79" s="10">
        <v>1.41E-2</v>
      </c>
      <c r="M79" s="3">
        <v>3.1440000000000001</v>
      </c>
      <c r="N79" s="11">
        <v>2.0707652985947698E-2</v>
      </c>
      <c r="O79" s="11">
        <f t="shared" si="4"/>
        <v>3.9160550144149438E-5</v>
      </c>
      <c r="P79" s="12">
        <v>0.12712623097582812</v>
      </c>
      <c r="Q79" s="14">
        <f t="shared" si="5"/>
        <v>0.11091338028169014</v>
      </c>
    </row>
    <row r="80" spans="1:17">
      <c r="A80" t="s">
        <v>257</v>
      </c>
      <c r="B80" s="3">
        <v>42571102</v>
      </c>
      <c r="C80" t="s">
        <v>258</v>
      </c>
      <c r="D80" t="s">
        <v>259</v>
      </c>
      <c r="E80" s="3" t="s">
        <v>47</v>
      </c>
      <c r="F80" s="3">
        <v>2028</v>
      </c>
      <c r="G80" s="2">
        <v>24.3291</v>
      </c>
      <c r="H80" s="3" t="s">
        <v>25</v>
      </c>
      <c r="I80" s="3" t="s">
        <v>260</v>
      </c>
      <c r="J80" s="11">
        <v>2.8686461345335701</v>
      </c>
      <c r="K80" s="11">
        <f t="shared" si="3"/>
        <v>1.4827348807224925E-2</v>
      </c>
      <c r="L80" s="10">
        <v>1.43E-2</v>
      </c>
      <c r="M80" s="3">
        <v>3.18</v>
      </c>
      <c r="N80" s="11">
        <v>0.36374012266242001</v>
      </c>
      <c r="O80" s="11">
        <f t="shared" si="4"/>
        <v>6.8787434880365165E-4</v>
      </c>
      <c r="P80" s="12">
        <v>0.15282005371530885</v>
      </c>
      <c r="Q80" s="14">
        <f t="shared" si="5"/>
        <v>9.3574106619800826E-2</v>
      </c>
    </row>
    <row r="81" spans="1:17">
      <c r="A81" t="s">
        <v>261</v>
      </c>
      <c r="B81" s="3">
        <v>167351101</v>
      </c>
      <c r="C81" t="s">
        <v>262</v>
      </c>
      <c r="D81" t="s">
        <v>23</v>
      </c>
      <c r="E81" s="3" t="s">
        <v>38</v>
      </c>
      <c r="F81" s="3">
        <v>2027</v>
      </c>
      <c r="G81" s="2">
        <v>3.6888636363636369</v>
      </c>
      <c r="H81" s="3" t="s">
        <v>25</v>
      </c>
      <c r="I81" s="3" t="s">
        <v>263</v>
      </c>
      <c r="J81" s="11">
        <v>0.46819682419120701</v>
      </c>
      <c r="K81" s="11">
        <f t="shared" si="3"/>
        <v>2.4199979004544425E-3</v>
      </c>
      <c r="L81" s="10">
        <v>1.44E-2</v>
      </c>
      <c r="M81" s="3">
        <v>5.0430000000000001</v>
      </c>
      <c r="N81" s="11">
        <v>3.4028232098789801</v>
      </c>
      <c r="O81" s="11">
        <f t="shared" si="4"/>
        <v>6.435129516250331E-3</v>
      </c>
      <c r="P81" s="12">
        <v>5.3715308863025966E-4</v>
      </c>
      <c r="Q81" s="14">
        <f t="shared" si="5"/>
        <v>26.807999999999996</v>
      </c>
    </row>
    <row r="82" spans="1:17">
      <c r="A82" t="s">
        <v>264</v>
      </c>
      <c r="B82" s="3">
        <v>162821701</v>
      </c>
      <c r="C82" t="s">
        <v>265</v>
      </c>
      <c r="D82" t="s">
        <v>137</v>
      </c>
      <c r="E82" s="3" t="s">
        <v>38</v>
      </c>
      <c r="F82" s="3">
        <v>2028</v>
      </c>
      <c r="G82" s="2">
        <v>2.6121212121212123</v>
      </c>
      <c r="H82" s="3" t="s">
        <v>25</v>
      </c>
      <c r="I82" s="3" t="s">
        <v>266</v>
      </c>
      <c r="J82" s="11">
        <v>3.9919218328932198</v>
      </c>
      <c r="K82" s="11">
        <f t="shared" si="3"/>
        <v>2.0633293425404806E-2</v>
      </c>
      <c r="L82" s="10">
        <v>1.4500000000000001E-2</v>
      </c>
      <c r="M82" s="3">
        <v>3.0289999999999999</v>
      </c>
      <c r="N82" s="11">
        <v>12.2140783852191</v>
      </c>
      <c r="O82" s="11">
        <f t="shared" si="4"/>
        <v>2.3098225056867986E-2</v>
      </c>
      <c r="P82" s="12">
        <v>8.5049239033124432E-3</v>
      </c>
      <c r="Q82" s="14">
        <f t="shared" si="5"/>
        <v>1.7048947368421055</v>
      </c>
    </row>
    <row r="83" spans="1:17">
      <c r="A83" t="s">
        <v>267</v>
      </c>
      <c r="B83" s="3">
        <v>103561102</v>
      </c>
      <c r="C83" t="s">
        <v>268</v>
      </c>
      <c r="D83" t="s">
        <v>228</v>
      </c>
      <c r="E83" s="3" t="s">
        <v>38</v>
      </c>
      <c r="F83" s="3">
        <v>2028</v>
      </c>
      <c r="G83" s="2">
        <v>19.040600000000001</v>
      </c>
      <c r="H83" s="3" t="s">
        <v>25</v>
      </c>
      <c r="I83" s="3" t="s">
        <v>269</v>
      </c>
      <c r="J83" s="11">
        <v>2.2092353782808001</v>
      </c>
      <c r="K83" s="11">
        <f t="shared" si="3"/>
        <v>1.1419011622483405E-2</v>
      </c>
      <c r="L83" s="10">
        <v>1.46E-2</v>
      </c>
      <c r="M83" s="3">
        <v>2.8010000000000002</v>
      </c>
      <c r="N83" s="11">
        <v>4.5093160584810903</v>
      </c>
      <c r="O83" s="11">
        <f t="shared" si="4"/>
        <v>8.5276345776027791E-3</v>
      </c>
      <c r="P83" s="12">
        <v>1.9695613249776187E-2</v>
      </c>
      <c r="Q83" s="14">
        <f t="shared" si="5"/>
        <v>0.74128181818181815</v>
      </c>
    </row>
    <row r="84" spans="1:17">
      <c r="A84" t="s">
        <v>270</v>
      </c>
      <c r="B84" s="3">
        <v>182371111</v>
      </c>
      <c r="C84" t="s">
        <v>271</v>
      </c>
      <c r="D84" t="s">
        <v>272</v>
      </c>
      <c r="E84" s="3" t="s">
        <v>47</v>
      </c>
      <c r="F84" s="3">
        <v>2028</v>
      </c>
      <c r="G84" s="2">
        <v>3.5838000000000001</v>
      </c>
      <c r="H84" s="3" t="s">
        <v>25</v>
      </c>
      <c r="I84" s="3" t="s">
        <v>273</v>
      </c>
      <c r="J84" s="11">
        <v>0.31171818763104903</v>
      </c>
      <c r="K84" s="11">
        <f t="shared" si="3"/>
        <v>1.6111970876857772E-3</v>
      </c>
      <c r="L84" s="10">
        <v>1.4800000000000001E-2</v>
      </c>
      <c r="M84" s="3">
        <v>2.5339999999999998</v>
      </c>
      <c r="N84" s="11">
        <v>0.184921499803749</v>
      </c>
      <c r="O84" s="11">
        <f t="shared" si="4"/>
        <v>3.4970779502197722E-4</v>
      </c>
      <c r="P84" s="12">
        <v>6.9919427036705464E-2</v>
      </c>
      <c r="Q84" s="14">
        <f t="shared" si="5"/>
        <v>0.21167221510883483</v>
      </c>
    </row>
    <row r="85" spans="1:17">
      <c r="A85" t="s">
        <v>274</v>
      </c>
      <c r="B85" s="3">
        <v>163201102</v>
      </c>
      <c r="C85" t="s">
        <v>217</v>
      </c>
      <c r="D85" t="s">
        <v>218</v>
      </c>
      <c r="E85" s="3" t="s">
        <v>47</v>
      </c>
      <c r="F85" s="3">
        <v>2028</v>
      </c>
      <c r="G85" s="2">
        <v>4.3550791666667692</v>
      </c>
      <c r="H85" s="3" t="s">
        <v>25</v>
      </c>
      <c r="I85" s="3" t="s">
        <v>275</v>
      </c>
      <c r="J85" s="11">
        <v>1.2265581848106699</v>
      </c>
      <c r="K85" s="11">
        <f t="shared" si="3"/>
        <v>6.3397871977337915E-3</v>
      </c>
      <c r="L85" s="10">
        <v>1.5100000000000001E-2</v>
      </c>
      <c r="M85" s="3">
        <v>2.1320000000000001</v>
      </c>
      <c r="N85" s="11">
        <v>2.6233630609785901</v>
      </c>
      <c r="O85" s="11">
        <f t="shared" si="4"/>
        <v>4.9610808509045435E-3</v>
      </c>
      <c r="P85" s="12">
        <v>1.8442256042972248E-2</v>
      </c>
      <c r="Q85" s="14">
        <f t="shared" si="5"/>
        <v>0.81877184466019415</v>
      </c>
    </row>
    <row r="86" spans="1:17">
      <c r="A86" t="s">
        <v>276</v>
      </c>
      <c r="B86" s="3">
        <v>153082106</v>
      </c>
      <c r="C86" t="s">
        <v>185</v>
      </c>
      <c r="D86" t="s">
        <v>33</v>
      </c>
      <c r="E86" s="3" t="s">
        <v>47</v>
      </c>
      <c r="F86" s="3">
        <v>2027</v>
      </c>
      <c r="G86" s="2">
        <v>32.388257575757578</v>
      </c>
      <c r="H86" s="3" t="s">
        <v>25</v>
      </c>
      <c r="I86" s="3" t="s">
        <v>277</v>
      </c>
      <c r="J86" s="11">
        <v>2.1992531666719599</v>
      </c>
      <c r="K86" s="11">
        <f t="shared" si="3"/>
        <v>1.1367415947572504E-2</v>
      </c>
      <c r="L86" s="10">
        <v>1.5599999999999999E-2</v>
      </c>
      <c r="M86" s="3">
        <v>2.2149999999999999</v>
      </c>
      <c r="N86" s="11">
        <v>8.4164163097933198</v>
      </c>
      <c r="O86" s="11">
        <f t="shared" si="4"/>
        <v>1.5916409897218223E-2</v>
      </c>
      <c r="P86" s="12">
        <v>5.1924798567591765E-3</v>
      </c>
      <c r="Q86" s="14">
        <f t="shared" si="5"/>
        <v>3.0043448275862068</v>
      </c>
    </row>
    <row r="87" spans="1:17">
      <c r="A87" t="s">
        <v>278</v>
      </c>
      <c r="B87" s="3">
        <v>252931102</v>
      </c>
      <c r="C87" t="s">
        <v>126</v>
      </c>
      <c r="D87" t="s">
        <v>127</v>
      </c>
      <c r="E87" s="3" t="s">
        <v>38</v>
      </c>
      <c r="F87" s="3">
        <v>2025</v>
      </c>
      <c r="G87" s="2">
        <v>8.1602272727272727</v>
      </c>
      <c r="H87" s="3" t="s">
        <v>25</v>
      </c>
      <c r="I87" s="3" t="s">
        <v>279</v>
      </c>
      <c r="J87" s="11">
        <v>0.97060407872479804</v>
      </c>
      <c r="K87" s="11">
        <f t="shared" si="3"/>
        <v>5.0168213693975805E-3</v>
      </c>
      <c r="L87" s="10">
        <v>1.6E-2</v>
      </c>
      <c r="M87" s="3">
        <v>4.4630000000000001</v>
      </c>
      <c r="N87" s="11">
        <v>1.3509756817638801</v>
      </c>
      <c r="O87" s="11">
        <f t="shared" si="4"/>
        <v>2.5548501785857829E-3</v>
      </c>
      <c r="P87" s="12">
        <v>3.2945389435989257E-2</v>
      </c>
      <c r="Q87" s="14">
        <f t="shared" si="5"/>
        <v>0.48565217391304349</v>
      </c>
    </row>
    <row r="88" spans="1:17">
      <c r="A88" t="s">
        <v>280</v>
      </c>
      <c r="B88" s="3">
        <v>152431101</v>
      </c>
      <c r="C88" t="s">
        <v>254</v>
      </c>
      <c r="D88" t="s">
        <v>64</v>
      </c>
      <c r="E88" s="3" t="s">
        <v>38</v>
      </c>
      <c r="F88" s="3">
        <v>2026</v>
      </c>
      <c r="G88" s="2">
        <v>3.7554924242424246</v>
      </c>
      <c r="H88" s="3" t="s">
        <v>25</v>
      </c>
      <c r="I88" s="3" t="s">
        <v>281</v>
      </c>
      <c r="J88" s="11">
        <v>0.75016141008370296</v>
      </c>
      <c r="K88" s="11">
        <f t="shared" si="3"/>
        <v>3.87740570547552E-3</v>
      </c>
      <c r="L88" s="10">
        <v>1.72E-2</v>
      </c>
      <c r="M88" s="3">
        <v>3.1509999999999998</v>
      </c>
      <c r="N88" s="11">
        <v>2.4426593261682599</v>
      </c>
      <c r="O88" s="11">
        <f t="shared" si="4"/>
        <v>4.6193493339104583E-3</v>
      </c>
      <c r="P88" s="12">
        <v>1.0743061772605193E-2</v>
      </c>
      <c r="Q88" s="14">
        <f t="shared" si="5"/>
        <v>1.6010333333333333</v>
      </c>
    </row>
    <row r="89" spans="1:17">
      <c r="A89" t="s">
        <v>282</v>
      </c>
      <c r="B89" s="3">
        <v>43141101</v>
      </c>
      <c r="C89" t="s">
        <v>74</v>
      </c>
      <c r="D89" t="s">
        <v>75</v>
      </c>
      <c r="E89" s="3" t="s">
        <v>47</v>
      </c>
      <c r="F89" s="3">
        <v>2027</v>
      </c>
      <c r="G89" s="2">
        <v>11.672727272727272</v>
      </c>
      <c r="H89" s="3" t="s">
        <v>25</v>
      </c>
      <c r="I89" s="3" t="s">
        <v>283</v>
      </c>
      <c r="J89" s="11">
        <v>2.65684518306489</v>
      </c>
      <c r="K89" s="11">
        <f t="shared" si="3"/>
        <v>1.3732600121661147E-2</v>
      </c>
      <c r="L89" s="10">
        <v>1.7600000000000001E-2</v>
      </c>
      <c r="M89" s="3">
        <v>5.1630000000000003</v>
      </c>
      <c r="N89" s="11">
        <v>9.4271493426099298</v>
      </c>
      <c r="O89" s="11">
        <f t="shared" si="4"/>
        <v>1.7827822148564276E-2</v>
      </c>
      <c r="P89" s="12">
        <v>9.1316025067144143E-3</v>
      </c>
      <c r="Q89" s="14">
        <f t="shared" si="5"/>
        <v>1.9273725490196079</v>
      </c>
    </row>
    <row r="90" spans="1:17">
      <c r="A90" t="s">
        <v>284</v>
      </c>
      <c r="B90" s="3">
        <v>162821702</v>
      </c>
      <c r="C90" t="s">
        <v>285</v>
      </c>
      <c r="D90" t="s">
        <v>137</v>
      </c>
      <c r="E90" s="3" t="s">
        <v>47</v>
      </c>
      <c r="F90" s="3">
        <v>2026</v>
      </c>
      <c r="G90" s="2">
        <v>7.6784090909090912</v>
      </c>
      <c r="H90" s="3" t="s">
        <v>25</v>
      </c>
      <c r="I90" s="3" t="s">
        <v>286</v>
      </c>
      <c r="J90" s="11">
        <v>0.80370980372456102</v>
      </c>
      <c r="K90" s="11">
        <f t="shared" si="3"/>
        <v>4.1541846016319422E-3</v>
      </c>
      <c r="L90" s="10">
        <v>1.77E-2</v>
      </c>
      <c r="M90" s="3">
        <v>3.6840000000000002</v>
      </c>
      <c r="N90" s="11">
        <v>2.76526574607123</v>
      </c>
      <c r="O90" s="11">
        <f t="shared" si="4"/>
        <v>5.2294351264436777E-3</v>
      </c>
      <c r="P90" s="12">
        <v>5.3715308863025966E-3</v>
      </c>
      <c r="Q90" s="14">
        <f t="shared" si="5"/>
        <v>3.29515</v>
      </c>
    </row>
    <row r="91" spans="1:17">
      <c r="A91" t="s">
        <v>287</v>
      </c>
      <c r="B91" s="3">
        <v>43191101</v>
      </c>
      <c r="C91" t="s">
        <v>288</v>
      </c>
      <c r="D91" t="s">
        <v>75</v>
      </c>
      <c r="E91" s="3" t="s">
        <v>24</v>
      </c>
      <c r="F91" s="3">
        <v>2026</v>
      </c>
      <c r="G91" s="2">
        <v>6.3106060606060606</v>
      </c>
      <c r="H91" s="3" t="s">
        <v>25</v>
      </c>
      <c r="I91" s="3" t="s">
        <v>289</v>
      </c>
      <c r="J91" s="11">
        <v>2.3418548443760399</v>
      </c>
      <c r="K91" s="11">
        <f t="shared" si="3"/>
        <v>1.2104490064299577E-2</v>
      </c>
      <c r="L91" s="10">
        <v>1.78E-2</v>
      </c>
      <c r="M91" s="3">
        <v>5.68</v>
      </c>
      <c r="N91" s="11">
        <v>8.9972136090655095</v>
      </c>
      <c r="O91" s="11">
        <f t="shared" si="4"/>
        <v>1.7014764296781011E-2</v>
      </c>
      <c r="P91" s="12">
        <v>1.1369740376007163E-2</v>
      </c>
      <c r="Q91" s="14">
        <f t="shared" si="5"/>
        <v>1.5655590551181102</v>
      </c>
    </row>
    <row r="92" spans="1:17">
      <c r="A92" t="s">
        <v>290</v>
      </c>
      <c r="B92" s="3">
        <v>162821701</v>
      </c>
      <c r="C92" t="s">
        <v>265</v>
      </c>
      <c r="D92" t="s">
        <v>137</v>
      </c>
      <c r="E92" s="3" t="s">
        <v>47</v>
      </c>
      <c r="F92" s="3">
        <v>2028</v>
      </c>
      <c r="G92" s="2">
        <v>25.503219696969694</v>
      </c>
      <c r="H92" s="3" t="s">
        <v>25</v>
      </c>
      <c r="I92" s="3" t="s">
        <v>291</v>
      </c>
      <c r="J92" s="11">
        <v>1.83193859865257</v>
      </c>
      <c r="K92" s="11">
        <f t="shared" si="3"/>
        <v>9.4688544078850075E-3</v>
      </c>
      <c r="L92" s="10">
        <v>1.83E-2</v>
      </c>
      <c r="M92" s="3">
        <v>2.3210000000000002</v>
      </c>
      <c r="N92" s="11">
        <v>7.1619230175492703</v>
      </c>
      <c r="O92" s="11">
        <f t="shared" si="4"/>
        <v>1.3544018998560623E-2</v>
      </c>
      <c r="P92" s="12">
        <v>5.9086839749328554E-3</v>
      </c>
      <c r="Q92" s="14">
        <f t="shared" si="5"/>
        <v>3.097136363636364</v>
      </c>
    </row>
    <row r="93" spans="1:17">
      <c r="A93" t="s">
        <v>292</v>
      </c>
      <c r="B93" s="3">
        <v>153082106</v>
      </c>
      <c r="C93" t="s">
        <v>185</v>
      </c>
      <c r="D93" t="s">
        <v>33</v>
      </c>
      <c r="E93" s="3" t="s">
        <v>24</v>
      </c>
      <c r="F93" s="3">
        <v>2027</v>
      </c>
      <c r="G93" s="2">
        <v>30.494507575757577</v>
      </c>
      <c r="H93" s="3" t="s">
        <v>25</v>
      </c>
      <c r="I93" s="3" t="s">
        <v>293</v>
      </c>
      <c r="J93" s="11">
        <v>4.0009256376984599</v>
      </c>
      <c r="K93" s="11">
        <f t="shared" si="3"/>
        <v>2.0679831948519359E-2</v>
      </c>
      <c r="L93" s="10">
        <v>1.8700000000000001E-2</v>
      </c>
      <c r="M93" s="3">
        <v>3.347</v>
      </c>
      <c r="N93" s="11">
        <v>16.156581985041399</v>
      </c>
      <c r="O93" s="11">
        <f t="shared" si="4"/>
        <v>3.0553952174716684E-2</v>
      </c>
      <c r="P93" s="12">
        <v>6.0877350044762756E-3</v>
      </c>
      <c r="Q93" s="14">
        <f t="shared" si="5"/>
        <v>3.0717500000000002</v>
      </c>
    </row>
    <row r="94" spans="1:17">
      <c r="A94" t="s">
        <v>294</v>
      </c>
      <c r="B94" s="3">
        <v>103451101</v>
      </c>
      <c r="C94" t="s">
        <v>295</v>
      </c>
      <c r="D94" t="s">
        <v>37</v>
      </c>
      <c r="E94" s="3" t="s">
        <v>47</v>
      </c>
      <c r="F94" s="3">
        <v>2026</v>
      </c>
      <c r="G94" s="2">
        <v>0.20833333333333334</v>
      </c>
      <c r="H94" s="3" t="s">
        <v>25</v>
      </c>
      <c r="I94" s="3" t="s">
        <v>296</v>
      </c>
      <c r="J94" s="11">
        <v>0.99112803260553095</v>
      </c>
      <c r="K94" s="11">
        <f t="shared" si="3"/>
        <v>5.1229047999851269E-3</v>
      </c>
      <c r="L94" s="10">
        <v>1.8800000000000001E-2</v>
      </c>
      <c r="M94" s="3">
        <v>2.1589999999999998</v>
      </c>
      <c r="N94" s="11">
        <v>2.8988836534499498</v>
      </c>
      <c r="O94" s="11">
        <f t="shared" si="4"/>
        <v>5.4821219357895513E-3</v>
      </c>
      <c r="P94" s="12">
        <v>1.0653536257833482E-2</v>
      </c>
      <c r="Q94" s="14">
        <f t="shared" si="5"/>
        <v>1.7646722689075631</v>
      </c>
    </row>
    <row r="95" spans="1:17">
      <c r="A95" t="s">
        <v>297</v>
      </c>
      <c r="B95" s="3">
        <v>163201101</v>
      </c>
      <c r="C95" t="s">
        <v>50</v>
      </c>
      <c r="D95" t="s">
        <v>23</v>
      </c>
      <c r="E95" s="3" t="s">
        <v>47</v>
      </c>
      <c r="F95" s="3">
        <v>2028</v>
      </c>
      <c r="G95" s="2">
        <v>13.307272727272727</v>
      </c>
      <c r="H95" s="3" t="s">
        <v>25</v>
      </c>
      <c r="I95" s="3" t="s">
        <v>103</v>
      </c>
      <c r="J95" s="11">
        <v>0.61223508133045201</v>
      </c>
      <c r="K95" s="11">
        <f t="shared" si="3"/>
        <v>3.1644973542135232E-3</v>
      </c>
      <c r="L95" s="10">
        <v>1.9099999999999999E-2</v>
      </c>
      <c r="M95" s="3">
        <v>3.0270000000000001</v>
      </c>
      <c r="N95" s="11">
        <v>0.88667094014817804</v>
      </c>
      <c r="O95" s="11">
        <f t="shared" si="4"/>
        <v>1.6767965851366979E-3</v>
      </c>
      <c r="P95" s="12">
        <v>3.1512981199641896E-2</v>
      </c>
      <c r="Q95" s="14">
        <f t="shared" si="5"/>
        <v>0.60609943181818182</v>
      </c>
    </row>
    <row r="96" spans="1:17">
      <c r="A96" t="s">
        <v>298</v>
      </c>
      <c r="B96" s="3">
        <v>163351701</v>
      </c>
      <c r="C96" t="s">
        <v>299</v>
      </c>
      <c r="D96" t="s">
        <v>109</v>
      </c>
      <c r="E96" s="3" t="s">
        <v>24</v>
      </c>
      <c r="F96" s="3">
        <v>2028</v>
      </c>
      <c r="G96" s="2">
        <v>17.011742424242424</v>
      </c>
      <c r="H96" s="3" t="s">
        <v>25</v>
      </c>
      <c r="I96" s="3" t="s">
        <v>300</v>
      </c>
      <c r="J96" s="11">
        <v>1.0146745555997101</v>
      </c>
      <c r="K96" s="11">
        <f t="shared" si="3"/>
        <v>5.2446111706068218E-3</v>
      </c>
      <c r="L96" s="10">
        <v>1.95E-2</v>
      </c>
      <c r="M96" s="3">
        <v>2.7570000000000001</v>
      </c>
      <c r="N96" s="11">
        <v>4.0927059654641198</v>
      </c>
      <c r="O96" s="11">
        <f t="shared" si="4"/>
        <v>7.7397770425542125E-3</v>
      </c>
      <c r="P96" s="12">
        <v>5.998209489704566E-3</v>
      </c>
      <c r="Q96" s="14">
        <f t="shared" si="5"/>
        <v>3.2509701492537313</v>
      </c>
    </row>
    <row r="97" spans="1:17">
      <c r="A97" t="s">
        <v>301</v>
      </c>
      <c r="B97" s="3">
        <v>103271101</v>
      </c>
      <c r="C97" t="s">
        <v>302</v>
      </c>
      <c r="D97" t="s">
        <v>37</v>
      </c>
      <c r="E97" s="3" t="s">
        <v>38</v>
      </c>
      <c r="F97" s="3">
        <v>2025</v>
      </c>
      <c r="G97" s="2">
        <v>15.165151515151514</v>
      </c>
      <c r="H97" s="3" t="s">
        <v>25</v>
      </c>
      <c r="I97" s="3" t="s">
        <v>303</v>
      </c>
      <c r="J97" s="11">
        <v>0.386579851443621</v>
      </c>
      <c r="K97" s="11">
        <f t="shared" si="3"/>
        <v>1.9981392023912894E-3</v>
      </c>
      <c r="L97" s="10">
        <v>1.9900000000000001E-2</v>
      </c>
      <c r="M97" s="3">
        <v>3.903</v>
      </c>
      <c r="N97" s="11">
        <v>5.77202572085843</v>
      </c>
      <c r="O97" s="11">
        <f t="shared" si="4"/>
        <v>1.0915563575861814E-2</v>
      </c>
      <c r="P97" s="12">
        <v>9.8478066248880924E-4</v>
      </c>
      <c r="Q97" s="14">
        <f t="shared" si="5"/>
        <v>20.207545454545457</v>
      </c>
    </row>
    <row r="98" spans="1:17">
      <c r="A98" t="s">
        <v>304</v>
      </c>
      <c r="B98" s="3">
        <v>43141101</v>
      </c>
      <c r="C98" t="s">
        <v>74</v>
      </c>
      <c r="D98" t="s">
        <v>75</v>
      </c>
      <c r="E98" s="3" t="s">
        <v>47</v>
      </c>
      <c r="F98" s="3">
        <v>2026</v>
      </c>
      <c r="G98" s="2">
        <v>2.5168560606060608</v>
      </c>
      <c r="H98" s="3" t="s">
        <v>25</v>
      </c>
      <c r="I98" s="3" t="s">
        <v>305</v>
      </c>
      <c r="J98" s="11">
        <v>0.32250527998717399</v>
      </c>
      <c r="K98" s="11">
        <f t="shared" si="3"/>
        <v>1.6669529995267547E-3</v>
      </c>
      <c r="L98" s="10">
        <v>2.01E-2</v>
      </c>
      <c r="M98" s="3">
        <v>2.6640000000000001</v>
      </c>
      <c r="N98" s="11">
        <v>1.6170839793048799</v>
      </c>
      <c r="O98" s="11">
        <f t="shared" si="4"/>
        <v>3.0580915327218725E-3</v>
      </c>
      <c r="P98" s="12">
        <v>3.4019695613249777E-3</v>
      </c>
      <c r="Q98" s="14">
        <f t="shared" si="5"/>
        <v>5.9083421052631575</v>
      </c>
    </row>
    <row r="99" spans="1:17">
      <c r="A99" t="s">
        <v>306</v>
      </c>
      <c r="B99" s="3">
        <v>152762102</v>
      </c>
      <c r="C99" t="s">
        <v>307</v>
      </c>
      <c r="D99" t="s">
        <v>33</v>
      </c>
      <c r="E99" s="3" t="s">
        <v>47</v>
      </c>
      <c r="F99" s="3">
        <v>2028</v>
      </c>
      <c r="G99" s="2">
        <v>6.77</v>
      </c>
      <c r="H99" s="3" t="s">
        <v>25</v>
      </c>
      <c r="I99" s="3" t="s">
        <v>308</v>
      </c>
      <c r="J99" s="11">
        <v>0.50619750014823905</v>
      </c>
      <c r="K99" s="11">
        <f t="shared" si="3"/>
        <v>2.6164143460181803E-3</v>
      </c>
      <c r="L99" s="10">
        <v>2.0299999999999999E-2</v>
      </c>
      <c r="M99" s="3">
        <v>10.641</v>
      </c>
      <c r="N99" s="11">
        <v>0.77456263795223401</v>
      </c>
      <c r="O99" s="11">
        <f t="shared" si="4"/>
        <v>1.4647869096462429E-3</v>
      </c>
      <c r="P99" s="12">
        <v>2.4888093106535364E-2</v>
      </c>
      <c r="Q99" s="14">
        <f t="shared" si="5"/>
        <v>0.81565107913669055</v>
      </c>
    </row>
    <row r="100" spans="1:17">
      <c r="A100" t="s">
        <v>309</v>
      </c>
      <c r="B100" s="3">
        <v>252931102</v>
      </c>
      <c r="C100" t="s">
        <v>126</v>
      </c>
      <c r="D100" t="s">
        <v>127</v>
      </c>
      <c r="E100" s="3" t="s">
        <v>38</v>
      </c>
      <c r="F100" s="3">
        <v>2028</v>
      </c>
      <c r="G100" s="2">
        <v>14.537007575757578</v>
      </c>
      <c r="H100" s="3" t="s">
        <v>25</v>
      </c>
      <c r="I100" s="3" t="s">
        <v>310</v>
      </c>
      <c r="J100" s="11">
        <v>1.4125242557497599</v>
      </c>
      <c r="K100" s="11">
        <f t="shared" si="3"/>
        <v>7.3010015374632064E-3</v>
      </c>
      <c r="L100" s="10">
        <v>2.0799999999999999E-2</v>
      </c>
      <c r="M100" s="3">
        <v>3.504</v>
      </c>
      <c r="N100" s="11">
        <v>3.5396377976648998</v>
      </c>
      <c r="O100" s="11">
        <f t="shared" si="4"/>
        <v>6.6938616153963534E-3</v>
      </c>
      <c r="P100" s="12">
        <v>1.9606087735004475E-2</v>
      </c>
      <c r="Q100" s="14">
        <f t="shared" si="5"/>
        <v>1.0608949771689498</v>
      </c>
    </row>
    <row r="101" spans="1:17">
      <c r="A101" t="s">
        <v>311</v>
      </c>
      <c r="B101" s="3">
        <v>152101101</v>
      </c>
      <c r="C101" t="s">
        <v>161</v>
      </c>
      <c r="D101" t="s">
        <v>95</v>
      </c>
      <c r="E101" s="3" t="s">
        <v>24</v>
      </c>
      <c r="F101" s="3">
        <v>2028</v>
      </c>
      <c r="G101" s="2">
        <v>6.4801136363636358</v>
      </c>
      <c r="H101" s="3" t="s">
        <v>25</v>
      </c>
      <c r="I101" s="3" t="s">
        <v>312</v>
      </c>
      <c r="J101" s="11">
        <v>1.6692734914207099</v>
      </c>
      <c r="K101" s="11">
        <f t="shared" si="3"/>
        <v>8.6280772012939273E-3</v>
      </c>
      <c r="L101" s="10">
        <v>2.0899999999999998E-2</v>
      </c>
      <c r="M101" s="3">
        <v>2.8450000000000002</v>
      </c>
      <c r="N101" s="11">
        <v>1.4141625542688401</v>
      </c>
      <c r="O101" s="11">
        <f t="shared" si="4"/>
        <v>2.6743438117300903E-3</v>
      </c>
      <c r="P101" s="12">
        <v>5.8370635631154882E-2</v>
      </c>
      <c r="Q101" s="14">
        <f t="shared" si="5"/>
        <v>0.35805674846625762</v>
      </c>
    </row>
    <row r="102" spans="1:17">
      <c r="A102" t="s">
        <v>313</v>
      </c>
      <c r="B102" s="3">
        <v>152431101</v>
      </c>
      <c r="C102" t="s">
        <v>254</v>
      </c>
      <c r="D102" t="s">
        <v>64</v>
      </c>
      <c r="E102" s="3" t="s">
        <v>38</v>
      </c>
      <c r="F102" s="3">
        <v>2026</v>
      </c>
      <c r="G102" s="2">
        <v>11.057007575757574</v>
      </c>
      <c r="H102" s="3" t="s">
        <v>25</v>
      </c>
      <c r="I102" s="3" t="s">
        <v>314</v>
      </c>
      <c r="J102" s="11">
        <v>0.68879737610244096</v>
      </c>
      <c r="K102" s="11">
        <f t="shared" si="3"/>
        <v>3.5602296254057782E-3</v>
      </c>
      <c r="L102" s="10">
        <v>2.1000000000000001E-2</v>
      </c>
      <c r="M102" s="3">
        <v>2.206</v>
      </c>
      <c r="N102" s="11">
        <v>4.51128770181821</v>
      </c>
      <c r="O102" s="11">
        <f t="shared" si="4"/>
        <v>8.5313631816035344E-3</v>
      </c>
      <c r="P102" s="12">
        <v>6.3563115487914055E-3</v>
      </c>
      <c r="Q102" s="14">
        <f t="shared" si="5"/>
        <v>3.3038028169014089</v>
      </c>
    </row>
    <row r="103" spans="1:17">
      <c r="A103" t="s">
        <v>315</v>
      </c>
      <c r="B103" s="3">
        <v>42711102</v>
      </c>
      <c r="C103" t="s">
        <v>316</v>
      </c>
      <c r="D103" t="s">
        <v>57</v>
      </c>
      <c r="E103" s="3" t="s">
        <v>47</v>
      </c>
      <c r="F103" s="3">
        <v>2025</v>
      </c>
      <c r="G103" s="2">
        <v>1.8312499999999998</v>
      </c>
      <c r="H103" s="3" t="s">
        <v>25</v>
      </c>
      <c r="I103" s="3" t="s">
        <v>317</v>
      </c>
      <c r="J103" s="11">
        <v>0.43305041367575398</v>
      </c>
      <c r="K103" s="11">
        <f t="shared" si="3"/>
        <v>2.2383344733202786E-3</v>
      </c>
      <c r="L103" s="10">
        <v>2.1100000000000001E-2</v>
      </c>
      <c r="M103" s="3">
        <v>2.7109999999999999</v>
      </c>
      <c r="N103" s="11">
        <v>2.4771988908760201</v>
      </c>
      <c r="O103" s="11">
        <f t="shared" si="4"/>
        <v>4.6846676177648965E-3</v>
      </c>
      <c r="P103" s="12">
        <v>2.1486123545210387E-3</v>
      </c>
      <c r="Q103" s="14">
        <f t="shared" si="5"/>
        <v>9.820291666666666</v>
      </c>
    </row>
    <row r="104" spans="1:17">
      <c r="A104" t="s">
        <v>318</v>
      </c>
      <c r="B104" s="3">
        <v>152181101</v>
      </c>
      <c r="C104" t="s">
        <v>197</v>
      </c>
      <c r="D104" t="s">
        <v>64</v>
      </c>
      <c r="E104" s="3" t="s">
        <v>47</v>
      </c>
      <c r="F104" s="3">
        <v>2028</v>
      </c>
      <c r="G104" s="2">
        <v>33.323083333333336</v>
      </c>
      <c r="H104" s="3" t="s">
        <v>25</v>
      </c>
      <c r="I104" s="3" t="s">
        <v>319</v>
      </c>
      <c r="J104" s="11">
        <v>1.9812180358746301</v>
      </c>
      <c r="K104" s="11">
        <f t="shared" si="3"/>
        <v>1.0240444273498605E-2</v>
      </c>
      <c r="L104" s="10">
        <v>2.12E-2</v>
      </c>
      <c r="M104" s="3">
        <v>6.32</v>
      </c>
      <c r="N104" s="11">
        <v>5.7413083736028003</v>
      </c>
      <c r="O104" s="11">
        <f t="shared" si="4"/>
        <v>1.0857473544204648E-2</v>
      </c>
      <c r="P104" s="12">
        <v>1.6025067144136079E-2</v>
      </c>
      <c r="Q104" s="14">
        <f t="shared" si="5"/>
        <v>1.3229273743016761</v>
      </c>
    </row>
    <row r="105" spans="1:17">
      <c r="A105" t="s">
        <v>320</v>
      </c>
      <c r="B105" s="3">
        <v>163201102</v>
      </c>
      <c r="C105" t="s">
        <v>217</v>
      </c>
      <c r="D105" t="s">
        <v>137</v>
      </c>
      <c r="E105" s="3" t="s">
        <v>24</v>
      </c>
      <c r="F105" s="3">
        <v>2028</v>
      </c>
      <c r="G105" s="2">
        <v>3.4600378787878787</v>
      </c>
      <c r="H105" s="3" t="s">
        <v>25</v>
      </c>
      <c r="I105" s="3" t="s">
        <v>321</v>
      </c>
      <c r="J105" s="11">
        <v>0.65624229831174896</v>
      </c>
      <c r="K105" s="11">
        <f t="shared" si="3"/>
        <v>3.3919601800956765E-3</v>
      </c>
      <c r="L105" s="10">
        <v>2.1999999999999999E-2</v>
      </c>
      <c r="M105" s="3">
        <v>1.6379999999999999</v>
      </c>
      <c r="N105" s="11">
        <v>2.4291546777822002</v>
      </c>
      <c r="O105" s="11">
        <f t="shared" si="4"/>
        <v>4.5938104927554383E-3</v>
      </c>
      <c r="P105" s="12">
        <v>9.8478066248880933E-3</v>
      </c>
      <c r="Q105" s="14">
        <f t="shared" si="5"/>
        <v>2.234</v>
      </c>
    </row>
    <row r="106" spans="1:17">
      <c r="A106" t="s">
        <v>322</v>
      </c>
      <c r="B106" s="3">
        <v>152301102</v>
      </c>
      <c r="C106" t="s">
        <v>149</v>
      </c>
      <c r="D106" t="s">
        <v>64</v>
      </c>
      <c r="E106" s="3" t="s">
        <v>47</v>
      </c>
      <c r="F106" s="3">
        <v>2028</v>
      </c>
      <c r="G106" s="2">
        <v>42.592999999999996</v>
      </c>
      <c r="H106" s="3" t="s">
        <v>25</v>
      </c>
      <c r="I106" s="3" t="s">
        <v>323</v>
      </c>
      <c r="J106" s="11">
        <v>2.2556922293528401</v>
      </c>
      <c r="K106" s="11">
        <f t="shared" si="3"/>
        <v>1.165913602369068E-2</v>
      </c>
      <c r="L106" s="10">
        <v>2.29E-2</v>
      </c>
      <c r="M106" s="3">
        <v>4.0890000000000004</v>
      </c>
      <c r="N106" s="11">
        <v>8.4065851340601494</v>
      </c>
      <c r="O106" s="11">
        <f t="shared" si="4"/>
        <v>1.5897818014761238E-2</v>
      </c>
      <c r="P106" s="12">
        <v>1.7188898836168309E-2</v>
      </c>
      <c r="Q106" s="14">
        <f t="shared" si="5"/>
        <v>1.3322552083333332</v>
      </c>
    </row>
    <row r="107" spans="1:17">
      <c r="A107" t="s">
        <v>324</v>
      </c>
      <c r="B107" s="3">
        <v>152282101</v>
      </c>
      <c r="C107" t="s">
        <v>60</v>
      </c>
      <c r="D107" t="s">
        <v>33</v>
      </c>
      <c r="E107" s="3" t="s">
        <v>38</v>
      </c>
      <c r="F107" s="3">
        <v>2026</v>
      </c>
      <c r="G107" s="2">
        <v>0.14375000000000002</v>
      </c>
      <c r="H107" s="3" t="s">
        <v>25</v>
      </c>
      <c r="I107" s="3" t="s">
        <v>325</v>
      </c>
      <c r="J107" s="11">
        <v>0.62517145988256395</v>
      </c>
      <c r="K107" s="11">
        <f t="shared" si="3"/>
        <v>3.2313624146283917E-3</v>
      </c>
      <c r="L107" s="10">
        <v>2.3E-2</v>
      </c>
      <c r="M107" s="3">
        <v>2.7669999999999999</v>
      </c>
      <c r="N107" s="11">
        <v>2.54388909072925</v>
      </c>
      <c r="O107" s="11">
        <f t="shared" si="4"/>
        <v>4.8107864452944099E-3</v>
      </c>
      <c r="P107" s="12">
        <v>6.2667860340196958E-3</v>
      </c>
      <c r="Q107" s="14">
        <f t="shared" si="5"/>
        <v>3.6701428571428569</v>
      </c>
    </row>
    <row r="108" spans="1:17">
      <c r="A108" t="s">
        <v>326</v>
      </c>
      <c r="B108" s="3">
        <v>162821702</v>
      </c>
      <c r="C108" t="s">
        <v>285</v>
      </c>
      <c r="D108" t="s">
        <v>137</v>
      </c>
      <c r="E108" s="3" t="s">
        <v>47</v>
      </c>
      <c r="F108" s="3">
        <v>2026</v>
      </c>
      <c r="G108" s="2">
        <v>9.6691287878787868</v>
      </c>
      <c r="H108" s="3" t="s">
        <v>25</v>
      </c>
      <c r="I108" s="3" t="s">
        <v>327</v>
      </c>
      <c r="J108" s="11">
        <v>0.57802372323767304</v>
      </c>
      <c r="K108" s="11">
        <f t="shared" si="3"/>
        <v>2.987666990403945E-3</v>
      </c>
      <c r="L108" s="10">
        <v>2.3300000000000001E-2</v>
      </c>
      <c r="M108" s="3">
        <v>3.367</v>
      </c>
      <c r="N108" s="11">
        <v>1.95886359247379</v>
      </c>
      <c r="O108" s="11">
        <f t="shared" si="4"/>
        <v>3.704436035830541E-3</v>
      </c>
      <c r="P108" s="12">
        <v>8.7735004476275739E-3</v>
      </c>
      <c r="Q108" s="14">
        <f t="shared" si="5"/>
        <v>2.6557244897959187</v>
      </c>
    </row>
    <row r="109" spans="1:17">
      <c r="A109" t="s">
        <v>328</v>
      </c>
      <c r="B109" s="3">
        <v>103031102</v>
      </c>
      <c r="C109" t="s">
        <v>71</v>
      </c>
      <c r="D109" t="s">
        <v>72</v>
      </c>
      <c r="E109" s="3" t="s">
        <v>47</v>
      </c>
      <c r="F109" s="3">
        <v>2026</v>
      </c>
      <c r="G109" s="2">
        <v>3.2600378787878785</v>
      </c>
      <c r="H109" s="3" t="s">
        <v>25</v>
      </c>
      <c r="I109" s="3" t="s">
        <v>329</v>
      </c>
      <c r="J109" s="11">
        <v>0.181828225094429</v>
      </c>
      <c r="K109" s="11">
        <f t="shared" si="3"/>
        <v>9.3982679983359828E-4</v>
      </c>
      <c r="L109" s="10">
        <v>2.3400000000000001E-2</v>
      </c>
      <c r="M109" s="3">
        <v>-13.387</v>
      </c>
      <c r="N109" s="11">
        <v>1.3156328237964701</v>
      </c>
      <c r="O109" s="11">
        <f t="shared" si="4"/>
        <v>2.4880127749162539E-3</v>
      </c>
      <c r="P109" s="12">
        <v>1.5219337511190689E-3</v>
      </c>
      <c r="Q109" s="14">
        <f t="shared" si="5"/>
        <v>15.375176470588237</v>
      </c>
    </row>
    <row r="110" spans="1:17">
      <c r="A110" t="s">
        <v>330</v>
      </c>
      <c r="B110" s="3">
        <v>43141101</v>
      </c>
      <c r="C110" t="s">
        <v>74</v>
      </c>
      <c r="D110" t="s">
        <v>75</v>
      </c>
      <c r="E110" s="3" t="s">
        <v>24</v>
      </c>
      <c r="F110" s="3">
        <v>2027</v>
      </c>
      <c r="G110" s="2">
        <v>1.05</v>
      </c>
      <c r="H110" s="3" t="s">
        <v>25</v>
      </c>
      <c r="I110" s="3" t="s">
        <v>331</v>
      </c>
      <c r="J110" s="11">
        <v>7.4754375747431795E-2</v>
      </c>
      <c r="K110" s="11">
        <f t="shared" si="3"/>
        <v>3.8638756824349455E-4</v>
      </c>
      <c r="L110" s="10">
        <v>2.41E-2</v>
      </c>
      <c r="M110" s="3">
        <v>2.14</v>
      </c>
      <c r="N110" s="11">
        <v>0.41203820298687699</v>
      </c>
      <c r="O110" s="11">
        <f t="shared" si="4"/>
        <v>7.7921156590380063E-4</v>
      </c>
      <c r="P110" s="12">
        <v>5.0134288272157563E-3</v>
      </c>
      <c r="Q110" s="14">
        <f t="shared" si="5"/>
        <v>4.8070892857142855</v>
      </c>
    </row>
    <row r="111" spans="1:17">
      <c r="A111" t="s">
        <v>332</v>
      </c>
      <c r="B111" s="3">
        <v>63601108</v>
      </c>
      <c r="C111" t="s">
        <v>333</v>
      </c>
      <c r="D111" t="s">
        <v>334</v>
      </c>
      <c r="E111" s="3" t="s">
        <v>38</v>
      </c>
      <c r="F111" s="3">
        <v>2025</v>
      </c>
      <c r="G111" s="2">
        <v>0.13428030303030303</v>
      </c>
      <c r="H111" s="3" t="s">
        <v>25</v>
      </c>
      <c r="I111" s="3" t="s">
        <v>335</v>
      </c>
      <c r="J111" s="11">
        <v>0.96252422380701097</v>
      </c>
      <c r="K111" s="11">
        <f t="shared" si="3"/>
        <v>4.9750585232467151E-3</v>
      </c>
      <c r="L111" s="10">
        <v>2.47E-2</v>
      </c>
      <c r="M111" s="3">
        <v>8.4649999999999999</v>
      </c>
      <c r="N111" s="11">
        <v>1.25128938143234</v>
      </c>
      <c r="O111" s="11">
        <f t="shared" si="4"/>
        <v>2.3663319353320867E-3</v>
      </c>
      <c r="P111" s="12">
        <v>6.8755595344673237E-2</v>
      </c>
      <c r="Q111" s="14">
        <f t="shared" si="5"/>
        <v>0.3592434895833333</v>
      </c>
    </row>
    <row r="112" spans="1:17">
      <c r="A112" t="s">
        <v>336</v>
      </c>
      <c r="B112" s="3">
        <v>102971111</v>
      </c>
      <c r="C112" t="s">
        <v>337</v>
      </c>
      <c r="D112" t="s">
        <v>72</v>
      </c>
      <c r="E112" s="3" t="s">
        <v>47</v>
      </c>
      <c r="F112" s="3">
        <v>2028</v>
      </c>
      <c r="G112" s="2">
        <v>25.114204545454548</v>
      </c>
      <c r="H112" s="3" t="s">
        <v>25</v>
      </c>
      <c r="I112" s="3" t="s">
        <v>338</v>
      </c>
      <c r="J112" s="11">
        <v>1.69784391581528</v>
      </c>
      <c r="K112" s="11">
        <f t="shared" si="3"/>
        <v>8.7757509219975865E-3</v>
      </c>
      <c r="L112" s="10">
        <v>2.4899999999999999E-2</v>
      </c>
      <c r="M112" s="3">
        <v>3.0409999999999999</v>
      </c>
      <c r="N112" s="11">
        <v>8.4684364051936392</v>
      </c>
      <c r="O112" s="11">
        <f t="shared" si="4"/>
        <v>1.601478587231352E-2</v>
      </c>
      <c r="P112" s="12">
        <v>5.1029543419874668E-3</v>
      </c>
      <c r="Q112" s="14">
        <f t="shared" si="5"/>
        <v>4.879526315789473</v>
      </c>
    </row>
    <row r="113" spans="1:17">
      <c r="A113" t="s">
        <v>339</v>
      </c>
      <c r="B113" s="3">
        <v>103031102</v>
      </c>
      <c r="C113" t="s">
        <v>71</v>
      </c>
      <c r="D113" t="s">
        <v>72</v>
      </c>
      <c r="E113" s="3" t="s">
        <v>47</v>
      </c>
      <c r="F113" s="3">
        <v>2026</v>
      </c>
      <c r="G113" s="2">
        <v>17.831628787878788</v>
      </c>
      <c r="H113" s="3" t="s">
        <v>25</v>
      </c>
      <c r="I113" s="3" t="s">
        <v>340</v>
      </c>
      <c r="J113" s="11">
        <v>1.28530264182108</v>
      </c>
      <c r="K113" s="11">
        <f t="shared" si="3"/>
        <v>6.6434233081967527E-3</v>
      </c>
      <c r="L113" s="10">
        <v>2.5499999999999998E-2</v>
      </c>
      <c r="M113" s="3">
        <v>2.2730000000000001</v>
      </c>
      <c r="N113" s="11">
        <v>5.8120646266615896</v>
      </c>
      <c r="O113" s="11">
        <f t="shared" si="4"/>
        <v>1.0991281745346571E-2</v>
      </c>
      <c r="P113" s="12">
        <v>5.4610564010743063E-3</v>
      </c>
      <c r="Q113" s="14">
        <f t="shared" si="5"/>
        <v>4.6694262295081961</v>
      </c>
    </row>
    <row r="114" spans="1:17">
      <c r="A114" t="s">
        <v>341</v>
      </c>
      <c r="B114" s="3">
        <v>254421103</v>
      </c>
      <c r="C114" t="s">
        <v>342</v>
      </c>
      <c r="D114" t="s">
        <v>68</v>
      </c>
      <c r="E114" s="3" t="s">
        <v>47</v>
      </c>
      <c r="F114" s="3">
        <v>2027</v>
      </c>
      <c r="G114" s="2">
        <v>6.3410984848484846</v>
      </c>
      <c r="H114" s="3" t="s">
        <v>25</v>
      </c>
      <c r="I114" s="3" t="s">
        <v>134</v>
      </c>
      <c r="J114" s="11">
        <v>1.30377926106338</v>
      </c>
      <c r="K114" s="11">
        <f t="shared" si="3"/>
        <v>6.7389245535354044E-3</v>
      </c>
      <c r="L114" s="10">
        <v>2.6200000000000001E-2</v>
      </c>
      <c r="M114" s="3">
        <v>1.736</v>
      </c>
      <c r="N114" s="11">
        <v>9.0144803144503296</v>
      </c>
      <c r="O114" s="11">
        <f t="shared" si="4"/>
        <v>1.7047417619806337E-2</v>
      </c>
      <c r="P114" s="12">
        <v>1.9695613249776185E-3</v>
      </c>
      <c r="Q114" s="14">
        <f t="shared" si="5"/>
        <v>13.302454545454546</v>
      </c>
    </row>
    <row r="115" spans="1:17">
      <c r="A115" t="s">
        <v>343</v>
      </c>
      <c r="B115" s="3">
        <v>163201102</v>
      </c>
      <c r="C115" t="s">
        <v>217</v>
      </c>
      <c r="D115" t="s">
        <v>137</v>
      </c>
      <c r="E115" s="3" t="s">
        <v>47</v>
      </c>
      <c r="F115" s="3">
        <v>2025</v>
      </c>
      <c r="G115" s="2">
        <v>10.174431818181818</v>
      </c>
      <c r="H115" s="3" t="s">
        <v>25</v>
      </c>
      <c r="I115" s="3" t="s">
        <v>344</v>
      </c>
      <c r="J115" s="11">
        <v>0.76794186863616098</v>
      </c>
      <c r="K115" s="11">
        <f t="shared" si="3"/>
        <v>3.969308661973348E-3</v>
      </c>
      <c r="L115" s="10">
        <v>2.63E-2</v>
      </c>
      <c r="M115" s="3">
        <v>1.7849999999999999</v>
      </c>
      <c r="N115" s="11">
        <v>3.3232583750505</v>
      </c>
      <c r="O115" s="11">
        <f t="shared" si="4"/>
        <v>6.2846632752849227E-3</v>
      </c>
      <c r="P115" s="12">
        <v>7.162041181736795E-3</v>
      </c>
      <c r="Q115" s="14">
        <f t="shared" si="5"/>
        <v>3.6721375000000003</v>
      </c>
    </row>
    <row r="116" spans="1:17">
      <c r="A116" t="s">
        <v>345</v>
      </c>
      <c r="B116" s="3">
        <v>43292103</v>
      </c>
      <c r="C116" t="s">
        <v>346</v>
      </c>
      <c r="D116" t="s">
        <v>57</v>
      </c>
      <c r="E116" s="3" t="s">
        <v>24</v>
      </c>
      <c r="F116" s="3">
        <v>2028</v>
      </c>
      <c r="G116" s="2">
        <v>65.991598484848481</v>
      </c>
      <c r="H116" s="3" t="s">
        <v>25</v>
      </c>
      <c r="I116" s="3" t="s">
        <v>347</v>
      </c>
      <c r="J116" s="11">
        <v>2.7053403071119901</v>
      </c>
      <c r="K116" s="11">
        <f t="shared" si="3"/>
        <v>1.3983259870537043E-2</v>
      </c>
      <c r="L116" s="10">
        <v>2.6700000000000002E-2</v>
      </c>
      <c r="M116" s="3">
        <v>2.9529999999999998</v>
      </c>
      <c r="N116" s="11">
        <v>6.6616518533210103</v>
      </c>
      <c r="O116" s="11">
        <f t="shared" si="4"/>
        <v>1.2597948769079412E-2</v>
      </c>
      <c r="P116" s="12">
        <v>2.2829006266786033E-2</v>
      </c>
      <c r="Q116" s="14">
        <f t="shared" si="5"/>
        <v>1.1695647058823531</v>
      </c>
    </row>
    <row r="117" spans="1:17">
      <c r="A117" t="s">
        <v>348</v>
      </c>
      <c r="B117" s="3">
        <v>254452101</v>
      </c>
      <c r="C117" t="s">
        <v>209</v>
      </c>
      <c r="D117" t="s">
        <v>116</v>
      </c>
      <c r="E117" s="3" t="s">
        <v>24</v>
      </c>
      <c r="F117" s="3">
        <v>2027</v>
      </c>
      <c r="G117" s="2">
        <v>2.4482954545454545</v>
      </c>
      <c r="H117" s="3" t="s">
        <v>25</v>
      </c>
      <c r="I117" s="3" t="s">
        <v>349</v>
      </c>
      <c r="J117" s="11">
        <v>1.5219475848528099</v>
      </c>
      <c r="K117" s="11">
        <f t="shared" si="3"/>
        <v>7.8665846704704754E-3</v>
      </c>
      <c r="L117" s="10">
        <v>2.8000000000000001E-2</v>
      </c>
      <c r="M117" s="3">
        <v>2.0539999999999998</v>
      </c>
      <c r="N117" s="11">
        <v>6.2842173331300701</v>
      </c>
      <c r="O117" s="11">
        <f t="shared" si="4"/>
        <v>1.1884176741698983E-2</v>
      </c>
      <c r="P117" s="12">
        <v>1.1280214861235453E-2</v>
      </c>
      <c r="Q117" s="14">
        <f t="shared" si="5"/>
        <v>2.4822222222222221</v>
      </c>
    </row>
    <row r="118" spans="1:17">
      <c r="A118" t="s">
        <v>350</v>
      </c>
      <c r="B118" s="3">
        <v>103451101</v>
      </c>
      <c r="C118" t="s">
        <v>295</v>
      </c>
      <c r="D118" t="s">
        <v>37</v>
      </c>
      <c r="E118" s="3" t="s">
        <v>47</v>
      </c>
      <c r="F118" s="3">
        <v>2026</v>
      </c>
      <c r="G118" s="2">
        <v>6.0155303030303031</v>
      </c>
      <c r="H118" s="3" t="s">
        <v>25</v>
      </c>
      <c r="I118" s="3" t="s">
        <v>351</v>
      </c>
      <c r="J118" s="11">
        <v>1.38485058826525</v>
      </c>
      <c r="K118" s="11">
        <f t="shared" si="3"/>
        <v>7.1579629396980949E-3</v>
      </c>
      <c r="L118" s="10">
        <v>2.8000000000000001E-2</v>
      </c>
      <c r="M118" s="3">
        <v>1.202</v>
      </c>
      <c r="N118" s="11">
        <v>8.0407534288242406</v>
      </c>
      <c r="O118" s="11">
        <f t="shared" si="4"/>
        <v>1.520598824308541E-2</v>
      </c>
      <c r="P118" s="12">
        <v>3.8495971351835273E-3</v>
      </c>
      <c r="Q118" s="14">
        <f t="shared" si="5"/>
        <v>7.2734883720930235</v>
      </c>
    </row>
    <row r="119" spans="1:17">
      <c r="A119" t="s">
        <v>352</v>
      </c>
      <c r="B119" s="3">
        <v>103611101</v>
      </c>
      <c r="C119" t="s">
        <v>353</v>
      </c>
      <c r="D119" t="s">
        <v>37</v>
      </c>
      <c r="E119" s="3" t="s">
        <v>38</v>
      </c>
      <c r="F119" s="3">
        <v>2026</v>
      </c>
      <c r="G119" s="2">
        <v>4.6600378787878789</v>
      </c>
      <c r="H119" s="3" t="s">
        <v>25</v>
      </c>
      <c r="I119" s="3" t="s">
        <v>354</v>
      </c>
      <c r="J119" s="11">
        <v>0.36345451590537697</v>
      </c>
      <c r="K119" s="11">
        <f t="shared" si="3"/>
        <v>1.8786098494390782E-3</v>
      </c>
      <c r="L119" s="10">
        <v>2.9399999999999999E-2</v>
      </c>
      <c r="M119" s="3">
        <v>1.883</v>
      </c>
      <c r="N119" s="11">
        <v>1.7355148771311999</v>
      </c>
      <c r="O119" s="11">
        <f t="shared" si="4"/>
        <v>3.2820579627220025E-3</v>
      </c>
      <c r="P119" s="12">
        <v>9.7582811101163836E-3</v>
      </c>
      <c r="Q119" s="14">
        <f t="shared" si="5"/>
        <v>3.0128256880733941</v>
      </c>
    </row>
    <row r="120" spans="1:17">
      <c r="A120" t="s">
        <v>355</v>
      </c>
      <c r="B120" s="3">
        <v>153662102</v>
      </c>
      <c r="C120" t="s">
        <v>32</v>
      </c>
      <c r="D120" t="s">
        <v>33</v>
      </c>
      <c r="E120" s="3" t="s">
        <v>38</v>
      </c>
      <c r="F120" s="3">
        <v>2025</v>
      </c>
      <c r="G120" s="2">
        <v>7.1488636363636369</v>
      </c>
      <c r="H120" s="3" t="s">
        <v>25</v>
      </c>
      <c r="I120" s="3" t="s">
        <v>356</v>
      </c>
      <c r="J120" s="11">
        <v>0.86935152662464499</v>
      </c>
      <c r="K120" s="11">
        <f t="shared" si="3"/>
        <v>4.4934710371493719E-3</v>
      </c>
      <c r="L120" s="10">
        <v>2.9499999999999998E-2</v>
      </c>
      <c r="M120" s="3">
        <v>1.69</v>
      </c>
      <c r="N120" s="11">
        <v>5.7862210991443099</v>
      </c>
      <c r="O120" s="11">
        <f t="shared" si="4"/>
        <v>1.0942408666590185E-2</v>
      </c>
      <c r="P120" s="12">
        <v>2.8648164726947181E-3</v>
      </c>
      <c r="Q120" s="14">
        <f t="shared" si="5"/>
        <v>10.29734375</v>
      </c>
    </row>
    <row r="121" spans="1:17">
      <c r="A121" t="s">
        <v>357</v>
      </c>
      <c r="B121" s="3">
        <v>163781701</v>
      </c>
      <c r="C121" t="s">
        <v>358</v>
      </c>
      <c r="D121" t="s">
        <v>109</v>
      </c>
      <c r="E121" s="3" t="s">
        <v>38</v>
      </c>
      <c r="F121" s="3">
        <v>2026</v>
      </c>
      <c r="G121" s="2">
        <v>1.893939393939394</v>
      </c>
      <c r="H121" s="3" t="s">
        <v>25</v>
      </c>
      <c r="I121" s="3" t="s">
        <v>359</v>
      </c>
      <c r="J121" s="11">
        <v>2.12892647457031</v>
      </c>
      <c r="K121" s="11">
        <f t="shared" si="3"/>
        <v>1.1003914021804647E-2</v>
      </c>
      <c r="L121" s="10">
        <v>3.0300000000000001E-2</v>
      </c>
      <c r="M121" s="3">
        <v>1.819</v>
      </c>
      <c r="N121" s="11">
        <v>9.5205243775330306</v>
      </c>
      <c r="O121" s="11">
        <f t="shared" si="4"/>
        <v>1.8004405064059294E-2</v>
      </c>
      <c r="P121" s="12">
        <v>1.0922112802148613E-2</v>
      </c>
      <c r="Q121" s="14">
        <f t="shared" si="5"/>
        <v>2.7741885245901639</v>
      </c>
    </row>
    <row r="122" spans="1:17">
      <c r="A122" t="s">
        <v>360</v>
      </c>
      <c r="B122" s="3">
        <v>103521102</v>
      </c>
      <c r="C122" t="s">
        <v>361</v>
      </c>
      <c r="D122" t="s">
        <v>37</v>
      </c>
      <c r="E122" s="3" t="s">
        <v>38</v>
      </c>
      <c r="F122" s="3">
        <v>2026</v>
      </c>
      <c r="G122" s="2">
        <v>6.7585227272727275</v>
      </c>
      <c r="H122" s="3" t="s">
        <v>25</v>
      </c>
      <c r="I122" s="3" t="s">
        <v>362</v>
      </c>
      <c r="J122" s="11">
        <v>0.92512767012763797</v>
      </c>
      <c r="K122" s="11">
        <f t="shared" si="3"/>
        <v>4.7817646418867781E-3</v>
      </c>
      <c r="L122" s="10">
        <v>3.0499999999999999E-2</v>
      </c>
      <c r="M122" s="3">
        <v>1.3480000000000001</v>
      </c>
      <c r="N122" s="11">
        <v>5.2000012816279098</v>
      </c>
      <c r="O122" s="11">
        <f t="shared" si="4"/>
        <v>9.8337996622320546E-3</v>
      </c>
      <c r="P122" s="12">
        <v>5.7296329453894361E-3</v>
      </c>
      <c r="Q122" s="14">
        <f t="shared" si="5"/>
        <v>5.323203125</v>
      </c>
    </row>
    <row r="123" spans="1:17">
      <c r="A123" t="s">
        <v>363</v>
      </c>
      <c r="B123" s="3">
        <v>43141101</v>
      </c>
      <c r="C123" t="s">
        <v>74</v>
      </c>
      <c r="D123" t="s">
        <v>75</v>
      </c>
      <c r="E123" s="3" t="s">
        <v>24</v>
      </c>
      <c r="F123" s="3">
        <v>2026</v>
      </c>
      <c r="G123" s="2">
        <v>1.35</v>
      </c>
      <c r="H123" s="3" t="s">
        <v>25</v>
      </c>
      <c r="I123" s="3" t="s">
        <v>364</v>
      </c>
      <c r="J123" s="11">
        <v>0.10837010975323801</v>
      </c>
      <c r="K123" s="11">
        <f t="shared" si="3"/>
        <v>5.6013929297339898E-4</v>
      </c>
      <c r="L123" s="10">
        <v>3.09E-2</v>
      </c>
      <c r="M123" s="3">
        <v>3.2370000000000001</v>
      </c>
      <c r="N123" s="11">
        <v>0.60597554117278596</v>
      </c>
      <c r="O123" s="11">
        <f t="shared" si="4"/>
        <v>1.1459693468076021E-3</v>
      </c>
      <c r="P123" s="12">
        <v>8.8630259623992836E-3</v>
      </c>
      <c r="Q123" s="14">
        <f t="shared" si="5"/>
        <v>3.4863939393939396</v>
      </c>
    </row>
    <row r="124" spans="1:17">
      <c r="A124" t="s">
        <v>365</v>
      </c>
      <c r="B124" s="3">
        <v>163201101</v>
      </c>
      <c r="C124" t="s">
        <v>50</v>
      </c>
      <c r="D124" t="s">
        <v>23</v>
      </c>
      <c r="E124" s="3" t="s">
        <v>47</v>
      </c>
      <c r="F124" s="3">
        <v>2027</v>
      </c>
      <c r="G124" s="2">
        <v>13.559545454545454</v>
      </c>
      <c r="H124" s="3" t="s">
        <v>25</v>
      </c>
      <c r="I124" s="3" t="s">
        <v>366</v>
      </c>
      <c r="J124" s="11">
        <v>0.80728983095441398</v>
      </c>
      <c r="K124" s="11">
        <f t="shared" si="3"/>
        <v>4.1726889099317262E-3</v>
      </c>
      <c r="L124" s="10">
        <v>3.2099999999999997E-2</v>
      </c>
      <c r="M124" s="3">
        <v>3.3969999999999998</v>
      </c>
      <c r="N124" s="11">
        <v>3.7702348158927599</v>
      </c>
      <c r="O124" s="11">
        <f t="shared" si="4"/>
        <v>7.1299470617543475E-3</v>
      </c>
      <c r="P124" s="12">
        <v>9.5792300805729626E-3</v>
      </c>
      <c r="Q124" s="14">
        <f t="shared" si="5"/>
        <v>3.351</v>
      </c>
    </row>
    <row r="125" spans="1:17">
      <c r="A125" t="s">
        <v>367</v>
      </c>
      <c r="B125" s="3">
        <v>157341101</v>
      </c>
      <c r="C125" t="s">
        <v>41</v>
      </c>
      <c r="D125" t="s">
        <v>42</v>
      </c>
      <c r="E125" s="3" t="s">
        <v>38</v>
      </c>
      <c r="F125" s="3">
        <v>2027</v>
      </c>
      <c r="G125" s="2">
        <v>0.67</v>
      </c>
      <c r="H125" s="3" t="s">
        <v>25</v>
      </c>
      <c r="I125" s="3" t="s">
        <v>106</v>
      </c>
      <c r="J125" s="11">
        <v>0.43753213059671497</v>
      </c>
      <c r="K125" s="11">
        <f t="shared" si="3"/>
        <v>2.2614994009292864E-3</v>
      </c>
      <c r="L125" s="10">
        <v>3.3500000000000002E-2</v>
      </c>
      <c r="M125" s="3">
        <v>2.1779999999999999</v>
      </c>
      <c r="N125" s="11">
        <v>1.1932505060976799</v>
      </c>
      <c r="O125" s="11">
        <f t="shared" si="4"/>
        <v>2.2565737561026323E-3</v>
      </c>
      <c r="P125" s="12">
        <v>2.5246195165622203E-2</v>
      </c>
      <c r="Q125" s="14">
        <f t="shared" si="5"/>
        <v>1.3269326241134753</v>
      </c>
    </row>
    <row r="126" spans="1:17">
      <c r="A126" t="s">
        <v>368</v>
      </c>
      <c r="B126" s="3">
        <v>153662102</v>
      </c>
      <c r="C126" t="s">
        <v>32</v>
      </c>
      <c r="D126" t="s">
        <v>33</v>
      </c>
      <c r="E126" s="3" t="s">
        <v>38</v>
      </c>
      <c r="F126" s="3">
        <v>2025</v>
      </c>
      <c r="G126" s="2">
        <v>1.074810606060606</v>
      </c>
      <c r="H126" s="3" t="s">
        <v>25</v>
      </c>
      <c r="I126" s="3" t="s">
        <v>369</v>
      </c>
      <c r="J126" s="11">
        <v>0.36550954106178501</v>
      </c>
      <c r="K126" s="11">
        <f t="shared" si="3"/>
        <v>1.8892317851441729E-3</v>
      </c>
      <c r="L126" s="10">
        <v>3.4099999999999998E-2</v>
      </c>
      <c r="M126" s="3">
        <v>1.3129999999999999</v>
      </c>
      <c r="N126" s="11">
        <v>1.9545493426267</v>
      </c>
      <c r="O126" s="11">
        <f t="shared" si="4"/>
        <v>3.696277293862728E-3</v>
      </c>
      <c r="P126" s="12">
        <v>4.9239033124440466E-3</v>
      </c>
      <c r="Q126" s="14">
        <f t="shared" si="5"/>
        <v>6.9253999999999998</v>
      </c>
    </row>
    <row r="127" spans="1:17">
      <c r="A127" t="s">
        <v>370</v>
      </c>
      <c r="B127" s="3">
        <v>103751101</v>
      </c>
      <c r="C127" t="s">
        <v>155</v>
      </c>
      <c r="D127" t="s">
        <v>72</v>
      </c>
      <c r="E127" s="3" t="s">
        <v>47</v>
      </c>
      <c r="F127" s="3">
        <v>2026</v>
      </c>
      <c r="G127" s="2">
        <v>0.7</v>
      </c>
      <c r="H127" s="3" t="s">
        <v>25</v>
      </c>
      <c r="I127" s="3" t="s">
        <v>371</v>
      </c>
      <c r="J127" s="11">
        <v>0.34163220122722299</v>
      </c>
      <c r="K127" s="11">
        <f t="shared" si="3"/>
        <v>1.7658155010463568E-3</v>
      </c>
      <c r="L127" s="10">
        <v>3.5200000000000002E-2</v>
      </c>
      <c r="M127" s="3">
        <v>1.5409999999999999</v>
      </c>
      <c r="N127" s="11">
        <v>1.61920475168153</v>
      </c>
      <c r="O127" s="11">
        <f t="shared" si="4"/>
        <v>3.062102156864381E-3</v>
      </c>
      <c r="P127" s="12">
        <v>9.668755595344674E-3</v>
      </c>
      <c r="Q127" s="14">
        <f t="shared" si="5"/>
        <v>3.6405925925925926</v>
      </c>
    </row>
    <row r="128" spans="1:17">
      <c r="A128" t="s">
        <v>372</v>
      </c>
      <c r="B128" s="3">
        <v>153661104</v>
      </c>
      <c r="C128" t="s">
        <v>221</v>
      </c>
      <c r="D128" t="s">
        <v>33</v>
      </c>
      <c r="E128" s="3" t="s">
        <v>38</v>
      </c>
      <c r="F128" s="3">
        <v>2025</v>
      </c>
      <c r="G128" s="2">
        <v>5.2638257575757574</v>
      </c>
      <c r="H128" s="3" t="s">
        <v>25</v>
      </c>
      <c r="I128" s="3" t="s">
        <v>373</v>
      </c>
      <c r="J128" s="11">
        <v>0.26091778853376002</v>
      </c>
      <c r="K128" s="11">
        <f t="shared" si="3"/>
        <v>1.3486219209916073E-3</v>
      </c>
      <c r="L128" s="10">
        <v>3.5299999999999998E-2</v>
      </c>
      <c r="M128" s="3">
        <v>10.579000000000001</v>
      </c>
      <c r="N128" s="11">
        <v>1.85667516769717</v>
      </c>
      <c r="O128" s="11">
        <f t="shared" si="4"/>
        <v>3.5111859878732914E-3</v>
      </c>
      <c r="P128" s="12">
        <v>2.6857654431512983E-3</v>
      </c>
      <c r="Q128" s="14">
        <f t="shared" si="5"/>
        <v>13.143366666666665</v>
      </c>
    </row>
    <row r="129" spans="1:17">
      <c r="A129" t="s">
        <v>374</v>
      </c>
      <c r="B129" s="3">
        <v>153662102</v>
      </c>
      <c r="C129" t="s">
        <v>32</v>
      </c>
      <c r="D129" t="s">
        <v>33</v>
      </c>
      <c r="E129" s="3" t="s">
        <v>24</v>
      </c>
      <c r="F129" s="3">
        <v>2025</v>
      </c>
      <c r="G129" s="2">
        <v>31.299810606060603</v>
      </c>
      <c r="H129" s="3" t="s">
        <v>25</v>
      </c>
      <c r="I129" s="3" t="s">
        <v>375</v>
      </c>
      <c r="J129" s="11">
        <v>1.4198802504233801</v>
      </c>
      <c r="K129" s="11">
        <f t="shared" si="3"/>
        <v>7.3390229223725678E-3</v>
      </c>
      <c r="L129" s="10">
        <v>3.6799999999999999E-2</v>
      </c>
      <c r="M129" s="3">
        <v>2.113</v>
      </c>
      <c r="N129" s="11">
        <v>8.7515807416057196</v>
      </c>
      <c r="O129" s="11">
        <f t="shared" si="4"/>
        <v>1.6550244332604585E-2</v>
      </c>
      <c r="P129" s="12">
        <v>5.6401074306177265E-3</v>
      </c>
      <c r="Q129" s="14">
        <f t="shared" si="5"/>
        <v>6.5246984126984122</v>
      </c>
    </row>
    <row r="130" spans="1:17">
      <c r="A130" t="s">
        <v>376</v>
      </c>
      <c r="B130" s="3">
        <v>152431102</v>
      </c>
      <c r="C130" t="s">
        <v>377</v>
      </c>
      <c r="D130" t="s">
        <v>64</v>
      </c>
      <c r="E130" s="3" t="s">
        <v>24</v>
      </c>
      <c r="F130" s="3">
        <v>2026</v>
      </c>
      <c r="G130" s="2">
        <v>10.13655303030303</v>
      </c>
      <c r="H130" s="3" t="s">
        <v>25</v>
      </c>
      <c r="I130" s="3" t="s">
        <v>378</v>
      </c>
      <c r="J130" s="11">
        <v>0.68912370768529296</v>
      </c>
      <c r="K130" s="11">
        <f t="shared" si="3"/>
        <v>3.5619163556537205E-3</v>
      </c>
      <c r="L130" s="10">
        <v>3.73E-2</v>
      </c>
      <c r="M130" s="3">
        <v>1.6539999999999999</v>
      </c>
      <c r="N130" s="11">
        <v>4.0016480597714601</v>
      </c>
      <c r="O130" s="11">
        <f t="shared" si="4"/>
        <v>7.567576084564505E-3</v>
      </c>
      <c r="P130" s="12">
        <v>7.9677708146821836E-3</v>
      </c>
      <c r="Q130" s="14">
        <f t="shared" si="5"/>
        <v>4.6813595505617984</v>
      </c>
    </row>
    <row r="131" spans="1:17">
      <c r="A131" t="s">
        <v>379</v>
      </c>
      <c r="B131" s="3">
        <v>252192105</v>
      </c>
      <c r="C131" t="s">
        <v>380</v>
      </c>
      <c r="D131" t="s">
        <v>116</v>
      </c>
      <c r="E131" s="3" t="s">
        <v>38</v>
      </c>
      <c r="F131" s="3">
        <v>2026</v>
      </c>
      <c r="G131" s="2">
        <v>2.1399621212121214</v>
      </c>
      <c r="H131" s="3" t="s">
        <v>25</v>
      </c>
      <c r="I131" s="3" t="s">
        <v>381</v>
      </c>
      <c r="J131" s="11">
        <v>0.28008655463515503</v>
      </c>
      <c r="K131" s="11">
        <f t="shared" si="3"/>
        <v>1.4477007086356978E-3</v>
      </c>
      <c r="L131" s="10">
        <v>3.7499999999999999E-2</v>
      </c>
      <c r="M131" s="3">
        <v>1.3280000000000001</v>
      </c>
      <c r="N131" s="11">
        <v>1.6917451070621601</v>
      </c>
      <c r="O131" s="11">
        <f t="shared" si="4"/>
        <v>3.1992843004074135E-3</v>
      </c>
      <c r="P131" s="12">
        <v>6.8039391226499555E-3</v>
      </c>
      <c r="Q131" s="14">
        <f t="shared" si="5"/>
        <v>5.5115131578947363</v>
      </c>
    </row>
    <row r="132" spans="1:17">
      <c r="A132" t="s">
        <v>382</v>
      </c>
      <c r="B132" s="3">
        <v>152431102</v>
      </c>
      <c r="C132" t="s">
        <v>377</v>
      </c>
      <c r="D132" t="s">
        <v>64</v>
      </c>
      <c r="E132" s="3" t="s">
        <v>24</v>
      </c>
      <c r="F132" s="3">
        <v>2027</v>
      </c>
      <c r="G132" s="2">
        <v>28.21174242424242</v>
      </c>
      <c r="H132" s="3" t="s">
        <v>25</v>
      </c>
      <c r="I132" s="3" t="s">
        <v>383</v>
      </c>
      <c r="J132" s="11">
        <v>1.1382220179775999</v>
      </c>
      <c r="K132" s="11">
        <f t="shared" si="3"/>
        <v>5.8831985853708005E-3</v>
      </c>
      <c r="L132" s="10">
        <v>3.95E-2</v>
      </c>
      <c r="M132" s="3">
        <v>4.1239999999999997</v>
      </c>
      <c r="N132" s="11">
        <v>7.0586170270398698</v>
      </c>
      <c r="O132" s="11">
        <f t="shared" si="4"/>
        <v>1.334865550544628E-2</v>
      </c>
      <c r="P132" s="12">
        <v>8.3258728737690239E-3</v>
      </c>
      <c r="Q132" s="14">
        <f t="shared" si="5"/>
        <v>4.7442473118279569</v>
      </c>
    </row>
    <row r="133" spans="1:17">
      <c r="A133" t="s">
        <v>384</v>
      </c>
      <c r="B133" s="3">
        <v>152471101</v>
      </c>
      <c r="C133" t="s">
        <v>385</v>
      </c>
      <c r="D133" t="s">
        <v>386</v>
      </c>
      <c r="E133" s="3" t="s">
        <v>38</v>
      </c>
      <c r="F133" s="3">
        <v>2026</v>
      </c>
      <c r="G133" s="2">
        <v>2.9725378787878789</v>
      </c>
      <c r="H133" s="3" t="s">
        <v>25</v>
      </c>
      <c r="I133" s="3" t="s">
        <v>387</v>
      </c>
      <c r="J133" s="11">
        <v>0.41687844603950902</v>
      </c>
      <c r="K133" s="11">
        <f t="shared" si="3"/>
        <v>2.1547454233656225E-3</v>
      </c>
      <c r="L133" s="10">
        <v>3.95E-2</v>
      </c>
      <c r="M133" s="3">
        <v>1.256</v>
      </c>
      <c r="N133" s="11">
        <v>3.1352901620557501</v>
      </c>
      <c r="O133" s="11">
        <f t="shared" si="4"/>
        <v>5.929193795692898E-3</v>
      </c>
      <c r="P133" s="12">
        <v>6.7144136078782449E-3</v>
      </c>
      <c r="Q133" s="14">
        <f t="shared" si="5"/>
        <v>5.8828666666666667</v>
      </c>
    </row>
    <row r="134" spans="1:17">
      <c r="A134" t="s">
        <v>388</v>
      </c>
      <c r="B134" s="3">
        <v>254151101</v>
      </c>
      <c r="C134" t="s">
        <v>389</v>
      </c>
      <c r="D134" t="s">
        <v>390</v>
      </c>
      <c r="E134" s="3" t="s">
        <v>38</v>
      </c>
      <c r="F134" s="3">
        <v>2026</v>
      </c>
      <c r="G134" s="2">
        <v>0.97859848484848477</v>
      </c>
      <c r="H134" s="3" t="s">
        <v>25</v>
      </c>
      <c r="I134" s="3" t="s">
        <v>391</v>
      </c>
      <c r="J134" s="11">
        <v>2.6189998201023301</v>
      </c>
      <c r="K134" s="11">
        <f t="shared" si="3"/>
        <v>1.3536986451983779E-2</v>
      </c>
      <c r="L134" s="10">
        <v>3.9899999999999998E-2</v>
      </c>
      <c r="M134" s="3">
        <v>1.175</v>
      </c>
      <c r="N134" s="11">
        <v>3.8105432600786999</v>
      </c>
      <c r="O134" s="11">
        <f t="shared" si="4"/>
        <v>7.2061749592783851E-3</v>
      </c>
      <c r="P134" s="12">
        <v>5.0940017905102955E-2</v>
      </c>
      <c r="Q134" s="14">
        <f t="shared" si="5"/>
        <v>0.78327416520210891</v>
      </c>
    </row>
    <row r="135" spans="1:17">
      <c r="A135" t="s">
        <v>392</v>
      </c>
      <c r="B135" s="3">
        <v>103271101</v>
      </c>
      <c r="C135" t="s">
        <v>392</v>
      </c>
      <c r="D135" t="s">
        <v>37</v>
      </c>
      <c r="E135" s="3" t="s">
        <v>38</v>
      </c>
      <c r="F135" s="3">
        <v>2026</v>
      </c>
      <c r="G135" s="2">
        <v>0.83257575757575752</v>
      </c>
      <c r="H135" s="3" t="s">
        <v>25</v>
      </c>
      <c r="I135" s="3" t="s">
        <v>393</v>
      </c>
      <c r="J135" s="11">
        <v>8.9184853857474197E-2</v>
      </c>
      <c r="K135" s="11">
        <f t="shared" si="3"/>
        <v>4.6097527350865184E-4</v>
      </c>
      <c r="L135" s="10">
        <v>4.0899999999999999E-2</v>
      </c>
      <c r="M135" s="3">
        <v>1.8660000000000001</v>
      </c>
      <c r="N135" s="11">
        <v>0.476861328730592</v>
      </c>
      <c r="O135" s="11">
        <f t="shared" si="4"/>
        <v>9.0179954185210822E-4</v>
      </c>
      <c r="P135" s="12">
        <v>8.4153983885407336E-3</v>
      </c>
      <c r="Q135" s="14">
        <f t="shared" si="5"/>
        <v>4.8601382978723402</v>
      </c>
    </row>
    <row r="136" spans="1:17">
      <c r="A136" t="s">
        <v>394</v>
      </c>
      <c r="B136" s="3">
        <v>157341101</v>
      </c>
      <c r="C136" t="s">
        <v>41</v>
      </c>
      <c r="D136" t="s">
        <v>42</v>
      </c>
      <c r="E136" s="3" t="s">
        <v>38</v>
      </c>
      <c r="F136" s="3">
        <v>2028</v>
      </c>
      <c r="G136" s="2">
        <v>0.17843371212121212</v>
      </c>
      <c r="H136" s="3" t="s">
        <v>25</v>
      </c>
      <c r="I136" s="3" t="s">
        <v>395</v>
      </c>
      <c r="J136" s="11">
        <v>0.96038763910758496</v>
      </c>
      <c r="K136" s="11">
        <f t="shared" ref="K136:K183" si="6">J136/J$4</f>
        <v>4.9640150256841549E-3</v>
      </c>
      <c r="L136" s="10">
        <v>4.1399999999999999E-2</v>
      </c>
      <c r="M136" s="3">
        <v>1.429</v>
      </c>
      <c r="N136" s="11">
        <v>0.99180065765881398</v>
      </c>
      <c r="O136" s="11">
        <f t="shared" ref="O136:O183" si="7">N136/N$4</f>
        <v>1.8756089554719212E-3</v>
      </c>
      <c r="P136" s="12">
        <v>7.4664279319606092E-2</v>
      </c>
      <c r="Q136" s="14">
        <f t="shared" ref="Q136:Q187" si="8">IF(ISNUMBER(P136),L136/P136,"")</f>
        <v>0.55448201438848921</v>
      </c>
    </row>
    <row r="137" spans="1:17">
      <c r="A137" t="s">
        <v>396</v>
      </c>
      <c r="B137" s="3">
        <v>152201101</v>
      </c>
      <c r="C137" t="s">
        <v>89</v>
      </c>
      <c r="D137" t="s">
        <v>95</v>
      </c>
      <c r="E137" s="3" t="s">
        <v>47</v>
      </c>
      <c r="F137" s="3">
        <v>2027</v>
      </c>
      <c r="G137" s="2">
        <v>21.978106060606063</v>
      </c>
      <c r="H137" s="3" t="s">
        <v>25</v>
      </c>
      <c r="I137" s="3" t="s">
        <v>397</v>
      </c>
      <c r="J137" s="11">
        <v>4.0600289000582102E-2</v>
      </c>
      <c r="K137" s="11">
        <f t="shared" si="6"/>
        <v>2.098532263839681E-4</v>
      </c>
      <c r="L137" s="10">
        <v>4.2799999999999998E-2</v>
      </c>
      <c r="M137" s="3">
        <v>4.0209999999999999</v>
      </c>
      <c r="N137" s="11">
        <v>6.3024902946199202</v>
      </c>
      <c r="O137" s="11">
        <f t="shared" si="7"/>
        <v>1.191873301059102E-2</v>
      </c>
      <c r="P137" s="12">
        <v>1.0384959713518353E-2</v>
      </c>
      <c r="Q137" s="14">
        <f t="shared" si="8"/>
        <v>4.1213448275862063</v>
      </c>
    </row>
    <row r="138" spans="1:17">
      <c r="A138" t="s">
        <v>398</v>
      </c>
      <c r="B138" s="3">
        <v>42711101</v>
      </c>
      <c r="C138" t="s">
        <v>56</v>
      </c>
      <c r="D138" t="s">
        <v>57</v>
      </c>
      <c r="E138" s="3" t="s">
        <v>47</v>
      </c>
      <c r="F138" s="3">
        <v>2025</v>
      </c>
      <c r="G138" s="2">
        <v>3.0060606060606059</v>
      </c>
      <c r="H138" s="3" t="s">
        <v>25</v>
      </c>
      <c r="I138" s="3" t="s">
        <v>138</v>
      </c>
      <c r="J138" s="11">
        <v>0.50348575665595297</v>
      </c>
      <c r="K138" s="11">
        <f t="shared" si="6"/>
        <v>2.6023979896081604E-3</v>
      </c>
      <c r="L138" s="10">
        <v>4.36E-2</v>
      </c>
      <c r="M138" s="3">
        <v>4.1139999999999999</v>
      </c>
      <c r="N138" s="11">
        <v>3.11792529115518</v>
      </c>
      <c r="O138" s="11">
        <f t="shared" si="7"/>
        <v>5.8963548304026298E-3</v>
      </c>
      <c r="P138" s="12">
        <v>9.4001790510295433E-3</v>
      </c>
      <c r="Q138" s="14">
        <f t="shared" si="8"/>
        <v>4.6382095238095236</v>
      </c>
    </row>
    <row r="139" spans="1:17">
      <c r="A139" t="s">
        <v>399</v>
      </c>
      <c r="B139" s="3">
        <v>103401102</v>
      </c>
      <c r="C139" t="s">
        <v>400</v>
      </c>
      <c r="D139" t="s">
        <v>37</v>
      </c>
      <c r="E139" s="3" t="s">
        <v>24</v>
      </c>
      <c r="F139" s="3">
        <v>2026</v>
      </c>
      <c r="G139" s="2">
        <v>0.33996212121212122</v>
      </c>
      <c r="H139" s="3" t="s">
        <v>25</v>
      </c>
      <c r="I139" s="3" t="s">
        <v>401</v>
      </c>
      <c r="J139" s="11">
        <v>0.82126735325833999</v>
      </c>
      <c r="K139" s="11">
        <f t="shared" si="6"/>
        <v>4.2449353944897716E-3</v>
      </c>
      <c r="L139" s="10">
        <v>4.4200000000000003E-2</v>
      </c>
      <c r="M139" s="3">
        <v>0.88200000000000001</v>
      </c>
      <c r="N139" s="11">
        <v>5.5178747460013202</v>
      </c>
      <c r="O139" s="11">
        <f t="shared" si="7"/>
        <v>1.0434934892262073E-2</v>
      </c>
      <c r="P139" s="12">
        <v>6.5353625783348256E-3</v>
      </c>
      <c r="Q139" s="14">
        <f t="shared" si="8"/>
        <v>6.7632054794520551</v>
      </c>
    </row>
    <row r="140" spans="1:17">
      <c r="A140" t="s">
        <v>402</v>
      </c>
      <c r="B140" s="3">
        <v>43361103</v>
      </c>
      <c r="C140" t="s">
        <v>403</v>
      </c>
      <c r="D140" t="s">
        <v>75</v>
      </c>
      <c r="E140" s="3" t="s">
        <v>38</v>
      </c>
      <c r="F140" s="3">
        <v>2026</v>
      </c>
      <c r="G140" s="2">
        <v>0.73011363636363635</v>
      </c>
      <c r="H140" s="3" t="s">
        <v>25</v>
      </c>
      <c r="I140" s="3" t="s">
        <v>404</v>
      </c>
      <c r="J140" s="11">
        <v>0.43595991684926899</v>
      </c>
      <c r="K140" s="11">
        <f t="shared" si="6"/>
        <v>2.2533730024334028E-3</v>
      </c>
      <c r="L140" s="10">
        <v>4.6199999999999998E-2</v>
      </c>
      <c r="M140" s="3">
        <v>1.45</v>
      </c>
      <c r="N140" s="11">
        <v>2.51155167974684</v>
      </c>
      <c r="O140" s="11">
        <f t="shared" si="7"/>
        <v>4.7496326870598102E-3</v>
      </c>
      <c r="P140" s="12">
        <v>1.289167412712623E-2</v>
      </c>
      <c r="Q140" s="14">
        <f t="shared" si="8"/>
        <v>3.5837083333333335</v>
      </c>
    </row>
    <row r="141" spans="1:17">
      <c r="A141" t="s">
        <v>405</v>
      </c>
      <c r="B141" s="3">
        <v>42031124</v>
      </c>
      <c r="C141" t="s">
        <v>98</v>
      </c>
      <c r="D141" t="s">
        <v>99</v>
      </c>
      <c r="E141" s="3" t="s">
        <v>47</v>
      </c>
      <c r="F141" s="3">
        <v>2027</v>
      </c>
      <c r="G141" s="2">
        <v>0.83</v>
      </c>
      <c r="H141" s="3" t="s">
        <v>25</v>
      </c>
      <c r="I141" s="3" t="s">
        <v>393</v>
      </c>
      <c r="J141" s="11">
        <v>0.36069228224635702</v>
      </c>
      <c r="K141" s="11">
        <f t="shared" si="6"/>
        <v>1.8643325213795804E-3</v>
      </c>
      <c r="L141" s="10">
        <v>4.6199999999999998E-2</v>
      </c>
      <c r="M141" s="3">
        <v>5.7789999999999999</v>
      </c>
      <c r="N141" s="11">
        <v>0.51501783322601102</v>
      </c>
      <c r="O141" s="11">
        <f t="shared" si="7"/>
        <v>9.7395787426343033E-4</v>
      </c>
      <c r="P141" s="12">
        <v>5.550581915846016E-2</v>
      </c>
      <c r="Q141" s="14">
        <f t="shared" si="8"/>
        <v>0.83234516129032254</v>
      </c>
    </row>
    <row r="142" spans="1:17">
      <c r="A142" t="s">
        <v>406</v>
      </c>
      <c r="B142" s="3">
        <v>153081112</v>
      </c>
      <c r="C142" t="s">
        <v>407</v>
      </c>
      <c r="D142" t="s">
        <v>33</v>
      </c>
      <c r="E142" s="3" t="s">
        <v>38</v>
      </c>
      <c r="F142" s="3">
        <v>2025</v>
      </c>
      <c r="G142" s="2">
        <v>5.4649621212121211</v>
      </c>
      <c r="H142" s="3" t="s">
        <v>25</v>
      </c>
      <c r="I142" s="3" t="s">
        <v>87</v>
      </c>
      <c r="J142" s="11">
        <v>0.64772262785270995</v>
      </c>
      <c r="K142" s="11">
        <f t="shared" si="6"/>
        <v>3.3479240321379147E-3</v>
      </c>
      <c r="L142" s="10">
        <v>4.8099999999999997E-2</v>
      </c>
      <c r="M142" s="3">
        <v>1.615</v>
      </c>
      <c r="N142" s="11">
        <v>3.6690693072456799</v>
      </c>
      <c r="O142" s="11">
        <f t="shared" si="7"/>
        <v>6.9386314656836208E-3</v>
      </c>
      <c r="P142" s="12">
        <v>1.3249776186213071E-2</v>
      </c>
      <c r="Q142" s="14">
        <f t="shared" si="8"/>
        <v>3.6302499999999998</v>
      </c>
    </row>
    <row r="143" spans="1:17">
      <c r="A143" t="s">
        <v>408</v>
      </c>
      <c r="B143" s="3">
        <v>152282101</v>
      </c>
      <c r="C143" t="s">
        <v>60</v>
      </c>
      <c r="D143" t="s">
        <v>33</v>
      </c>
      <c r="E143" s="3" t="s">
        <v>38</v>
      </c>
      <c r="F143" s="3">
        <v>2025</v>
      </c>
      <c r="G143" s="2">
        <v>1.1206439393939394</v>
      </c>
      <c r="H143" s="3" t="s">
        <v>25</v>
      </c>
      <c r="I143" s="3" t="s">
        <v>409</v>
      </c>
      <c r="J143" s="11">
        <v>1.0899915531948301</v>
      </c>
      <c r="K143" s="11">
        <f t="shared" si="6"/>
        <v>5.6339067972133935E-3</v>
      </c>
      <c r="L143" s="10">
        <v>4.8300000000000003E-2</v>
      </c>
      <c r="M143" s="3">
        <v>1.825</v>
      </c>
      <c r="N143" s="11">
        <v>2.6799124045040399</v>
      </c>
      <c r="O143" s="11">
        <f t="shared" si="7"/>
        <v>5.068022154404747E-3</v>
      </c>
      <c r="P143" s="12">
        <v>3.5899731423455684E-2</v>
      </c>
      <c r="Q143" s="14">
        <f t="shared" si="8"/>
        <v>1.3454139650872818</v>
      </c>
    </row>
    <row r="144" spans="1:17">
      <c r="A144" t="s">
        <v>410</v>
      </c>
      <c r="B144" s="3">
        <v>103271101</v>
      </c>
      <c r="C144" t="s">
        <v>302</v>
      </c>
      <c r="D144" t="s">
        <v>37</v>
      </c>
      <c r="E144" s="3" t="s">
        <v>38</v>
      </c>
      <c r="F144" s="3">
        <v>2025</v>
      </c>
      <c r="G144" s="2">
        <v>4.1712121212121209</v>
      </c>
      <c r="H144" s="3" t="s">
        <v>25</v>
      </c>
      <c r="I144" s="3" t="s">
        <v>411</v>
      </c>
      <c r="J144" s="11">
        <v>0.16622042435751699</v>
      </c>
      <c r="K144" s="11">
        <f t="shared" si="6"/>
        <v>8.5915379424607405E-4</v>
      </c>
      <c r="L144" s="10">
        <v>4.9599999999999998E-2</v>
      </c>
      <c r="M144" s="3">
        <v>1.4650000000000001</v>
      </c>
      <c r="N144" s="11">
        <v>3.17422091518528</v>
      </c>
      <c r="O144" s="11">
        <f t="shared" si="7"/>
        <v>6.0028163211965383E-3</v>
      </c>
      <c r="P144" s="12">
        <v>8.1468218442256046E-3</v>
      </c>
      <c r="Q144" s="14">
        <f t="shared" si="8"/>
        <v>6.0882637362637357</v>
      </c>
    </row>
    <row r="145" spans="1:17">
      <c r="A145" t="s">
        <v>412</v>
      </c>
      <c r="B145" s="3">
        <v>153662102</v>
      </c>
      <c r="C145" t="s">
        <v>32</v>
      </c>
      <c r="D145" t="s">
        <v>33</v>
      </c>
      <c r="E145" s="3" t="s">
        <v>24</v>
      </c>
      <c r="F145" s="3">
        <v>2028</v>
      </c>
      <c r="G145" s="2">
        <v>67.702028409090914</v>
      </c>
      <c r="H145" s="3" t="s">
        <v>25</v>
      </c>
      <c r="I145" s="3" t="s">
        <v>413</v>
      </c>
      <c r="J145" s="11">
        <v>1.9469017088723899</v>
      </c>
      <c r="K145" s="11">
        <f t="shared" si="6"/>
        <v>1.0063071350390492E-2</v>
      </c>
      <c r="L145" s="10">
        <v>5.0900000000000001E-2</v>
      </c>
      <c r="M145" s="3">
        <v>3.8540000000000001</v>
      </c>
      <c r="N145" s="11">
        <v>12.060829940985</v>
      </c>
      <c r="O145" s="11">
        <f t="shared" si="7"/>
        <v>2.2808414647691493E-2</v>
      </c>
      <c r="P145" s="12">
        <v>1.1817367949865711E-2</v>
      </c>
      <c r="Q145" s="14">
        <f t="shared" si="8"/>
        <v>4.307219696969697</v>
      </c>
    </row>
    <row r="146" spans="1:17">
      <c r="A146" t="s">
        <v>414</v>
      </c>
      <c r="B146" s="3">
        <v>63801102</v>
      </c>
      <c r="C146" t="s">
        <v>415</v>
      </c>
      <c r="D146" t="s">
        <v>334</v>
      </c>
      <c r="E146" s="3" t="s">
        <v>38</v>
      </c>
      <c r="F146" s="3">
        <v>2026</v>
      </c>
      <c r="G146" s="2">
        <v>0.81079545454545487</v>
      </c>
      <c r="H146" s="3" t="s">
        <v>25</v>
      </c>
      <c r="I146" s="3" t="s">
        <v>416</v>
      </c>
      <c r="J146" s="11">
        <v>0.49702268327730798</v>
      </c>
      <c r="K146" s="11">
        <f t="shared" si="6"/>
        <v>2.568991902256281E-3</v>
      </c>
      <c r="L146" s="10">
        <v>5.2299999999999999E-2</v>
      </c>
      <c r="M146" s="3">
        <v>2.907</v>
      </c>
      <c r="N146" s="11">
        <v>1.7972911185215701</v>
      </c>
      <c r="O146" s="11">
        <f t="shared" si="7"/>
        <v>3.3988839304126117E-3</v>
      </c>
      <c r="P146" s="12">
        <v>2.802148612354521E-2</v>
      </c>
      <c r="Q146" s="14">
        <f t="shared" si="8"/>
        <v>1.8664249201277956</v>
      </c>
    </row>
    <row r="147" spans="1:17">
      <c r="A147" t="s">
        <v>417</v>
      </c>
      <c r="B147" s="3">
        <v>103451101</v>
      </c>
      <c r="C147" t="s">
        <v>295</v>
      </c>
      <c r="D147" t="s">
        <v>37</v>
      </c>
      <c r="E147" s="3" t="s">
        <v>24</v>
      </c>
      <c r="F147" s="3">
        <v>2026</v>
      </c>
      <c r="G147" s="2">
        <v>2.1638257575757578</v>
      </c>
      <c r="H147" s="3" t="s">
        <v>25</v>
      </c>
      <c r="I147" s="3" t="s">
        <v>418</v>
      </c>
      <c r="J147" s="11">
        <v>0.37625785641884602</v>
      </c>
      <c r="K147" s="11">
        <f t="shared" si="6"/>
        <v>1.9447872679102998E-3</v>
      </c>
      <c r="L147" s="10">
        <v>5.7599999999999998E-2</v>
      </c>
      <c r="M147" s="3">
        <v>0.81799999999999995</v>
      </c>
      <c r="N147" s="11">
        <v>3.2677707519614998</v>
      </c>
      <c r="O147" s="11">
        <f t="shared" si="7"/>
        <v>6.1797298070724212E-3</v>
      </c>
      <c r="P147" s="12">
        <v>7.4306177260519248E-3</v>
      </c>
      <c r="Q147" s="14">
        <f t="shared" si="8"/>
        <v>7.7517108433734938</v>
      </c>
    </row>
    <row r="148" spans="1:17">
      <c r="A148" t="s">
        <v>419</v>
      </c>
      <c r="B148" s="3">
        <v>63601104</v>
      </c>
      <c r="C148" t="s">
        <v>420</v>
      </c>
      <c r="D148" t="s">
        <v>334</v>
      </c>
      <c r="E148" s="3" t="s">
        <v>38</v>
      </c>
      <c r="F148" s="3">
        <v>2025</v>
      </c>
      <c r="G148" s="2">
        <v>0.16761363636363635</v>
      </c>
      <c r="H148" s="3" t="s">
        <v>25</v>
      </c>
      <c r="I148" s="3" t="s">
        <v>421</v>
      </c>
      <c r="J148" s="11">
        <v>0.49393932878790198</v>
      </c>
      <c r="K148" s="11">
        <f t="shared" si="6"/>
        <v>2.5530547770875895E-3</v>
      </c>
      <c r="L148" s="10">
        <v>5.9700000000000003E-2</v>
      </c>
      <c r="M148" s="3">
        <v>8.58</v>
      </c>
      <c r="N148" s="11">
        <v>1.9083494994483701</v>
      </c>
      <c r="O148" s="11">
        <f t="shared" si="7"/>
        <v>3.6089080841959172E-3</v>
      </c>
      <c r="P148" s="12">
        <v>3.4288272157564907E-2</v>
      </c>
      <c r="Q148" s="14">
        <f t="shared" si="8"/>
        <v>1.7411201044386424</v>
      </c>
    </row>
    <row r="149" spans="1:17">
      <c r="A149" t="s">
        <v>422</v>
      </c>
      <c r="B149" s="3">
        <v>24251101</v>
      </c>
      <c r="C149" t="s">
        <v>423</v>
      </c>
      <c r="D149" t="s">
        <v>424</v>
      </c>
      <c r="E149" s="3" t="s">
        <v>47</v>
      </c>
      <c r="F149" s="3">
        <v>2025</v>
      </c>
      <c r="G149" s="2">
        <v>0.71931818181818186</v>
      </c>
      <c r="H149" s="3" t="s">
        <v>25</v>
      </c>
      <c r="I149" s="3" t="s">
        <v>404</v>
      </c>
      <c r="J149" s="11">
        <v>0.54390014960468902</v>
      </c>
      <c r="K149" s="11">
        <f t="shared" si="6"/>
        <v>2.8112903635644187E-3</v>
      </c>
      <c r="L149" s="10">
        <v>6.3100000000000003E-2</v>
      </c>
      <c r="M149" s="3">
        <v>1.99</v>
      </c>
      <c r="N149" s="11">
        <v>0.53258177010866303</v>
      </c>
      <c r="O149" s="11">
        <f t="shared" si="7"/>
        <v>1.0071732961892527E-3</v>
      </c>
      <c r="P149" s="12">
        <v>9.1853178155774401E-2</v>
      </c>
      <c r="Q149" s="14">
        <f t="shared" si="8"/>
        <v>0.68696588693957117</v>
      </c>
    </row>
    <row r="150" spans="1:17">
      <c r="A150" t="s">
        <v>425</v>
      </c>
      <c r="B150" s="3">
        <v>42851111</v>
      </c>
      <c r="C150" t="s">
        <v>426</v>
      </c>
      <c r="D150" t="s">
        <v>79</v>
      </c>
      <c r="E150" s="3" t="s">
        <v>47</v>
      </c>
      <c r="F150" s="3">
        <v>2027</v>
      </c>
      <c r="G150" s="2">
        <v>0.76</v>
      </c>
      <c r="H150" s="3" t="s">
        <v>25</v>
      </c>
      <c r="I150" s="3" t="s">
        <v>427</v>
      </c>
      <c r="J150" s="11">
        <v>0.41767229916957399</v>
      </c>
      <c r="K150" s="11">
        <f t="shared" si="6"/>
        <v>2.1588486611681112E-3</v>
      </c>
      <c r="L150" s="10">
        <v>6.4899999999999999E-2</v>
      </c>
      <c r="M150" s="3">
        <v>1.4350000000000001</v>
      </c>
      <c r="N150" s="11">
        <v>0.43278016284602899</v>
      </c>
      <c r="O150" s="11">
        <f t="shared" si="7"/>
        <v>8.1843699428544605E-4</v>
      </c>
      <c r="P150" s="12">
        <v>9.2658907788719783E-2</v>
      </c>
      <c r="Q150" s="14">
        <f t="shared" si="8"/>
        <v>0.70041835748792269</v>
      </c>
    </row>
    <row r="151" spans="1:17">
      <c r="A151" t="s">
        <v>428</v>
      </c>
      <c r="B151" s="3">
        <v>102971111</v>
      </c>
      <c r="C151" t="s">
        <v>337</v>
      </c>
      <c r="D151" t="s">
        <v>72</v>
      </c>
      <c r="E151" s="3" t="s">
        <v>24</v>
      </c>
      <c r="F151" s="3">
        <v>2027</v>
      </c>
      <c r="G151" s="2">
        <v>2.7835227272727274</v>
      </c>
      <c r="H151" s="3" t="s">
        <v>25</v>
      </c>
      <c r="I151" s="3" t="s">
        <v>429</v>
      </c>
      <c r="J151" s="11">
        <v>0.83318486645122902</v>
      </c>
      <c r="K151" s="11">
        <f t="shared" si="6"/>
        <v>4.3065341824679903E-3</v>
      </c>
      <c r="L151" s="10">
        <v>6.9500000000000006E-2</v>
      </c>
      <c r="M151" s="3">
        <v>1.1000000000000001</v>
      </c>
      <c r="N151" s="11">
        <v>2.8229874164517201</v>
      </c>
      <c r="O151" s="11">
        <f t="shared" si="7"/>
        <v>5.3385934346726772E-3</v>
      </c>
      <c r="P151" s="12">
        <v>3.8854073410922112E-2</v>
      </c>
      <c r="Q151" s="14">
        <f t="shared" si="8"/>
        <v>1.7887442396313367</v>
      </c>
    </row>
    <row r="152" spans="1:17">
      <c r="A152" t="s">
        <v>430</v>
      </c>
      <c r="B152" s="3">
        <v>43141102</v>
      </c>
      <c r="C152" t="s">
        <v>431</v>
      </c>
      <c r="D152" t="s">
        <v>75</v>
      </c>
      <c r="E152" s="3" t="s">
        <v>38</v>
      </c>
      <c r="F152" s="3">
        <v>2027</v>
      </c>
      <c r="G152" s="2">
        <v>1.9560606060606061</v>
      </c>
      <c r="H152" s="3" t="s">
        <v>25</v>
      </c>
      <c r="I152" s="3" t="s">
        <v>432</v>
      </c>
      <c r="J152" s="11">
        <v>0.19390653503109301</v>
      </c>
      <c r="K152" s="11">
        <f t="shared" si="6"/>
        <v>1.0022567078925813E-3</v>
      </c>
      <c r="L152" s="10">
        <v>7.1199999999999999E-2</v>
      </c>
      <c r="M152" s="3">
        <v>2.778</v>
      </c>
      <c r="N152" s="11">
        <v>0.75852345190537496</v>
      </c>
      <c r="O152" s="11">
        <f t="shared" si="7"/>
        <v>1.4344549666739708E-3</v>
      </c>
      <c r="P152" s="12">
        <v>3.5094001790510296E-2</v>
      </c>
      <c r="Q152" s="14">
        <f t="shared" si="8"/>
        <v>2.0288367346938774</v>
      </c>
    </row>
    <row r="153" spans="1:17">
      <c r="A153" t="s">
        <v>433</v>
      </c>
      <c r="B153" s="3">
        <v>42711101</v>
      </c>
      <c r="C153" t="s">
        <v>56</v>
      </c>
      <c r="D153" t="s">
        <v>57</v>
      </c>
      <c r="E153" s="3" t="s">
        <v>24</v>
      </c>
      <c r="F153" s="3">
        <v>2028</v>
      </c>
      <c r="G153" s="2">
        <v>5.0621212121212125</v>
      </c>
      <c r="H153" s="3" t="s">
        <v>25</v>
      </c>
      <c r="I153" s="3" t="s">
        <v>434</v>
      </c>
      <c r="J153" s="11">
        <v>7.3196903170616098E-2</v>
      </c>
      <c r="K153" s="11">
        <f t="shared" si="6"/>
        <v>3.7833736334853336E-4</v>
      </c>
      <c r="L153" s="10">
        <v>7.4700000000000003E-2</v>
      </c>
      <c r="M153" s="3">
        <v>3.7480000000000002</v>
      </c>
      <c r="N153" s="11">
        <v>4.0368840584578702</v>
      </c>
      <c r="O153" s="11">
        <f t="shared" si="7"/>
        <v>7.6342114050604939E-3</v>
      </c>
      <c r="P153" s="12">
        <v>1.1996418979409132E-2</v>
      </c>
      <c r="Q153" s="14">
        <f t="shared" si="8"/>
        <v>6.2268582089552238</v>
      </c>
    </row>
    <row r="154" spans="1:17">
      <c r="A154" t="s">
        <v>435</v>
      </c>
      <c r="B154" s="3">
        <v>43432105</v>
      </c>
      <c r="C154" t="s">
        <v>436</v>
      </c>
      <c r="D154" t="s">
        <v>57</v>
      </c>
      <c r="E154" s="3" t="s">
        <v>47</v>
      </c>
      <c r="F154" s="3">
        <v>2026</v>
      </c>
      <c r="G154" s="2">
        <v>4.1600378787878789</v>
      </c>
      <c r="H154" s="3" t="s">
        <v>25</v>
      </c>
      <c r="I154" s="3" t="s">
        <v>437</v>
      </c>
      <c r="J154" s="11">
        <v>0.567307189815068</v>
      </c>
      <c r="K154" s="11">
        <f t="shared" si="6"/>
        <v>2.9322757808893265E-3</v>
      </c>
      <c r="L154" s="10">
        <v>0.08</v>
      </c>
      <c r="M154" s="3">
        <v>1.1160000000000001</v>
      </c>
      <c r="N154" s="11">
        <v>6.1774179404601401</v>
      </c>
      <c r="O154" s="11">
        <f t="shared" si="7"/>
        <v>1.1682206823869395E-2</v>
      </c>
      <c r="P154" s="12">
        <v>7.7887197851387643E-3</v>
      </c>
      <c r="Q154" s="14">
        <f t="shared" si="8"/>
        <v>10.271264367816093</v>
      </c>
    </row>
    <row r="155" spans="1:17">
      <c r="A155" t="s">
        <v>438</v>
      </c>
      <c r="B155" s="3">
        <v>254452101</v>
      </c>
      <c r="C155" t="s">
        <v>209</v>
      </c>
      <c r="D155" t="s">
        <v>116</v>
      </c>
      <c r="E155" s="3" t="s">
        <v>24</v>
      </c>
      <c r="F155" s="3">
        <v>2027</v>
      </c>
      <c r="G155" s="2">
        <v>3.155871212121212</v>
      </c>
      <c r="H155" s="3" t="s">
        <v>25</v>
      </c>
      <c r="I155" s="3" t="s">
        <v>439</v>
      </c>
      <c r="J155" s="11">
        <v>2.0028944800061801</v>
      </c>
      <c r="K155" s="11">
        <f t="shared" si="6"/>
        <v>1.0352484651769616E-2</v>
      </c>
      <c r="L155" s="10">
        <v>8.1900000000000001E-2</v>
      </c>
      <c r="M155" s="3">
        <v>0.76600000000000001</v>
      </c>
      <c r="N155" s="11">
        <v>6.1298622832909997</v>
      </c>
      <c r="O155" s="11">
        <f t="shared" si="7"/>
        <v>1.1592273614225894E-2</v>
      </c>
      <c r="P155" s="12">
        <v>4.5120859444941812E-2</v>
      </c>
      <c r="Q155" s="14">
        <f t="shared" si="8"/>
        <v>1.8151249999999999</v>
      </c>
    </row>
    <row r="156" spans="1:17">
      <c r="A156" t="s">
        <v>440</v>
      </c>
      <c r="B156" s="3">
        <v>152181101</v>
      </c>
      <c r="C156" t="s">
        <v>197</v>
      </c>
      <c r="D156" t="s">
        <v>64</v>
      </c>
      <c r="E156" s="3" t="s">
        <v>24</v>
      </c>
      <c r="F156" s="3">
        <v>2027</v>
      </c>
      <c r="G156" s="2">
        <v>2.1695075757575757</v>
      </c>
      <c r="H156" s="3" t="s">
        <v>25</v>
      </c>
      <c r="I156" s="3" t="s">
        <v>418</v>
      </c>
      <c r="J156" s="11">
        <v>0.35686859644906599</v>
      </c>
      <c r="K156" s="11">
        <f t="shared" si="6"/>
        <v>1.8445687999630021E-3</v>
      </c>
      <c r="L156" s="10">
        <v>8.5999999999999993E-2</v>
      </c>
      <c r="M156" s="3">
        <v>1.4390000000000001</v>
      </c>
      <c r="N156" s="11">
        <v>1.9521584817703099</v>
      </c>
      <c r="O156" s="11">
        <f t="shared" si="7"/>
        <v>3.6917559013844069E-3</v>
      </c>
      <c r="P156" s="12">
        <v>2.8827215756490599E-2</v>
      </c>
      <c r="Q156" s="14">
        <f t="shared" si="8"/>
        <v>2.9832919254658385</v>
      </c>
    </row>
    <row r="157" spans="1:17">
      <c r="A157" t="s">
        <v>441</v>
      </c>
      <c r="B157" s="3">
        <v>103271101</v>
      </c>
      <c r="C157" t="s">
        <v>302</v>
      </c>
      <c r="D157" t="s">
        <v>37</v>
      </c>
      <c r="E157" s="3" t="s">
        <v>24</v>
      </c>
      <c r="F157" s="3">
        <v>2026</v>
      </c>
      <c r="G157" s="2">
        <v>4.9221590909090915</v>
      </c>
      <c r="H157" s="3" t="s">
        <v>25</v>
      </c>
      <c r="I157" s="3" t="s">
        <v>442</v>
      </c>
      <c r="J157" s="11">
        <v>0.23501141941647199</v>
      </c>
      <c r="K157" s="11">
        <f t="shared" si="6"/>
        <v>1.2147180676698012E-3</v>
      </c>
      <c r="L157" s="10">
        <v>8.8400000000000006E-2</v>
      </c>
      <c r="M157" s="3">
        <v>0.86499999999999999</v>
      </c>
      <c r="N157" s="11">
        <v>2.4998399374307998</v>
      </c>
      <c r="O157" s="11">
        <f t="shared" si="7"/>
        <v>4.7274844372048467E-3</v>
      </c>
      <c r="P157" s="12">
        <v>1.2802148612354521E-2</v>
      </c>
      <c r="Q157" s="14">
        <f t="shared" si="8"/>
        <v>6.9050909090909096</v>
      </c>
    </row>
    <row r="158" spans="1:17">
      <c r="A158" t="s">
        <v>443</v>
      </c>
      <c r="B158" s="3">
        <v>103321101</v>
      </c>
      <c r="C158" t="s">
        <v>444</v>
      </c>
      <c r="D158" t="s">
        <v>37</v>
      </c>
      <c r="E158" s="3" t="s">
        <v>38</v>
      </c>
      <c r="F158" s="3">
        <v>2025</v>
      </c>
      <c r="G158" s="2">
        <v>1.5151515151515152E-2</v>
      </c>
      <c r="H158" s="3" t="s">
        <v>25</v>
      </c>
      <c r="I158" s="3" t="s">
        <v>445</v>
      </c>
      <c r="J158" s="11">
        <v>0.79061640695740798</v>
      </c>
      <c r="K158" s="11">
        <f t="shared" si="6"/>
        <v>4.0865079514516168E-3</v>
      </c>
      <c r="L158" s="10">
        <v>0.10150000000000001</v>
      </c>
      <c r="M158" s="3">
        <v>1.7210000000000001</v>
      </c>
      <c r="N158" s="11">
        <v>2.5078722047092001</v>
      </c>
      <c r="O158" s="11">
        <f t="shared" si="7"/>
        <v>4.7426743771628163E-3</v>
      </c>
      <c r="P158" s="12">
        <v>5.2282900626678605E-2</v>
      </c>
      <c r="Q158" s="14">
        <f t="shared" si="8"/>
        <v>1.9413613013698632</v>
      </c>
    </row>
    <row r="159" spans="1:17">
      <c r="A159" t="s">
        <v>446</v>
      </c>
      <c r="B159" s="3">
        <v>152181102</v>
      </c>
      <c r="C159" t="s">
        <v>447</v>
      </c>
      <c r="D159" t="s">
        <v>64</v>
      </c>
      <c r="E159" s="3" t="s">
        <v>24</v>
      </c>
      <c r="F159" s="3">
        <v>2026</v>
      </c>
      <c r="G159" s="2">
        <v>29.664015151515152</v>
      </c>
      <c r="H159" s="3" t="s">
        <v>25</v>
      </c>
      <c r="I159" s="3" t="s">
        <v>448</v>
      </c>
      <c r="J159" s="11">
        <v>0.25383555327162199</v>
      </c>
      <c r="K159" s="11">
        <f t="shared" si="6"/>
        <v>1.3120155332944983E-3</v>
      </c>
      <c r="L159" s="10">
        <v>0.1022</v>
      </c>
      <c r="M159" s="3">
        <v>1.6160000000000001</v>
      </c>
      <c r="N159" s="11">
        <v>9.8392734516091807</v>
      </c>
      <c r="O159" s="11">
        <f t="shared" si="7"/>
        <v>1.8607196172604087E-2</v>
      </c>
      <c r="P159" s="12">
        <v>8.6839749328558643E-3</v>
      </c>
      <c r="Q159" s="14">
        <f t="shared" si="8"/>
        <v>11.768804123711339</v>
      </c>
    </row>
    <row r="160" spans="1:17">
      <c r="A160" t="s">
        <v>449</v>
      </c>
      <c r="B160" s="3">
        <v>42571102</v>
      </c>
      <c r="C160" t="s">
        <v>450</v>
      </c>
      <c r="D160" t="s">
        <v>79</v>
      </c>
      <c r="E160" s="3" t="s">
        <v>47</v>
      </c>
      <c r="F160" s="3">
        <v>2025</v>
      </c>
      <c r="G160" s="2">
        <v>1.1308712121212121</v>
      </c>
      <c r="H160" s="3" t="s">
        <v>25</v>
      </c>
      <c r="I160" s="3" t="s">
        <v>451</v>
      </c>
      <c r="J160" s="11">
        <v>0.237923433112294</v>
      </c>
      <c r="K160" s="11">
        <f t="shared" si="6"/>
        <v>1.2297695730749422E-3</v>
      </c>
      <c r="L160" s="10">
        <v>0.1048</v>
      </c>
      <c r="M160" s="3">
        <v>1.01</v>
      </c>
      <c r="N160" s="11">
        <v>0.13232400450760901</v>
      </c>
      <c r="O160" s="11">
        <f t="shared" si="7"/>
        <v>2.5023989040724823E-4</v>
      </c>
      <c r="P160" s="12">
        <v>0.15398388540734109</v>
      </c>
      <c r="Q160" s="14">
        <f t="shared" si="8"/>
        <v>0.6805906976744186</v>
      </c>
    </row>
    <row r="161" spans="1:17">
      <c r="A161" t="s">
        <v>452</v>
      </c>
      <c r="B161" s="3">
        <v>102781101</v>
      </c>
      <c r="C161" t="s">
        <v>453</v>
      </c>
      <c r="D161" t="s">
        <v>454</v>
      </c>
      <c r="E161" s="3" t="s">
        <v>38</v>
      </c>
      <c r="F161" s="3">
        <v>2025</v>
      </c>
      <c r="G161" s="2">
        <v>0.80075757575757578</v>
      </c>
      <c r="H161" s="3" t="s">
        <v>25</v>
      </c>
      <c r="I161" s="3" t="s">
        <v>416</v>
      </c>
      <c r="J161" s="11">
        <v>0.71072950805028901</v>
      </c>
      <c r="K161" s="11">
        <f t="shared" si="6"/>
        <v>3.6735915931166195E-3</v>
      </c>
      <c r="L161" s="10">
        <v>0.1168</v>
      </c>
      <c r="M161" s="3">
        <v>5.0179999999999998</v>
      </c>
      <c r="N161" s="11">
        <v>1.20268483039944</v>
      </c>
      <c r="O161" s="11">
        <f t="shared" si="7"/>
        <v>2.274415146923019E-3</v>
      </c>
      <c r="P161" s="12">
        <v>9.3464637421665178E-2</v>
      </c>
      <c r="Q161" s="14">
        <f t="shared" si="8"/>
        <v>1.2496704980842912</v>
      </c>
    </row>
    <row r="162" spans="1:17">
      <c r="A162" t="s">
        <v>455</v>
      </c>
      <c r="B162" s="3">
        <v>63601108</v>
      </c>
      <c r="C162" t="s">
        <v>333</v>
      </c>
      <c r="D162" t="s">
        <v>334</v>
      </c>
      <c r="E162" s="3" t="s">
        <v>38</v>
      </c>
      <c r="F162" s="3">
        <v>2025</v>
      </c>
      <c r="G162" s="2">
        <v>0.42215909090909093</v>
      </c>
      <c r="H162" s="3" t="s">
        <v>25</v>
      </c>
      <c r="I162" s="3" t="s">
        <v>456</v>
      </c>
      <c r="J162" s="11">
        <v>7.8760532146942105E-2</v>
      </c>
      <c r="K162" s="11">
        <f t="shared" si="6"/>
        <v>4.0709443675430654E-4</v>
      </c>
      <c r="L162" s="10">
        <v>0.13539999999999999</v>
      </c>
      <c r="M162" s="3">
        <v>-7.27</v>
      </c>
      <c r="N162" s="11">
        <v>3.6060731253807397E-2</v>
      </c>
      <c r="O162" s="11">
        <f t="shared" si="7"/>
        <v>6.8194984504410901E-5</v>
      </c>
      <c r="P162" s="12">
        <v>0.17215756490599821</v>
      </c>
      <c r="Q162" s="14">
        <f t="shared" si="8"/>
        <v>0.78648881955278205</v>
      </c>
    </row>
    <row r="163" spans="1:17">
      <c r="A163" t="s">
        <v>457</v>
      </c>
      <c r="B163" s="3">
        <v>42281105</v>
      </c>
      <c r="C163" t="s">
        <v>458</v>
      </c>
      <c r="D163" t="s">
        <v>459</v>
      </c>
      <c r="E163" s="3" t="s">
        <v>38</v>
      </c>
      <c r="F163" s="3">
        <v>2027</v>
      </c>
      <c r="G163" s="2">
        <v>2.449431818181818</v>
      </c>
      <c r="H163" s="3" t="s">
        <v>25</v>
      </c>
      <c r="I163" s="3" t="s">
        <v>349</v>
      </c>
      <c r="J163" s="11">
        <v>0.81976345415829599</v>
      </c>
      <c r="K163" s="11">
        <f t="shared" si="6"/>
        <v>4.2371620981396978E-3</v>
      </c>
      <c r="L163" s="10">
        <v>0.13919999999999999</v>
      </c>
      <c r="M163" s="3">
        <v>0.82799999999999996</v>
      </c>
      <c r="N163" s="11">
        <v>3.5306926923781199</v>
      </c>
      <c r="O163" s="11">
        <f t="shared" si="7"/>
        <v>6.6769453939218406E-3</v>
      </c>
      <c r="P163" s="12">
        <v>5.1298119964189794E-2</v>
      </c>
      <c r="Q163" s="14">
        <f t="shared" si="8"/>
        <v>2.713549738219895</v>
      </c>
    </row>
    <row r="164" spans="1:17">
      <c r="A164" t="s">
        <v>460</v>
      </c>
      <c r="B164" s="3">
        <v>103021101</v>
      </c>
      <c r="C164" t="s">
        <v>461</v>
      </c>
      <c r="D164" t="s">
        <v>29</v>
      </c>
      <c r="E164" s="3" t="s">
        <v>24</v>
      </c>
      <c r="F164" s="3">
        <v>2025</v>
      </c>
      <c r="G164" s="2">
        <v>0.22518939393939394</v>
      </c>
      <c r="H164" s="3" t="s">
        <v>25</v>
      </c>
      <c r="I164" s="3" t="s">
        <v>462</v>
      </c>
      <c r="J164" s="11">
        <v>0.26837287801906101</v>
      </c>
      <c r="K164" s="11">
        <f t="shared" si="6"/>
        <v>1.3871555033867764E-3</v>
      </c>
      <c r="L164" s="10">
        <v>0.14779999999999999</v>
      </c>
      <c r="M164" s="3">
        <v>0.51500000000000001</v>
      </c>
      <c r="N164" s="11">
        <v>1.1306498094272599</v>
      </c>
      <c r="O164" s="11">
        <f t="shared" si="7"/>
        <v>2.1381886487858224E-3</v>
      </c>
      <c r="P164" s="12">
        <v>7.0277529095792296E-2</v>
      </c>
      <c r="Q164" s="14">
        <f t="shared" si="8"/>
        <v>2.1030904458598725</v>
      </c>
    </row>
    <row r="165" spans="1:17">
      <c r="A165" t="s">
        <v>463</v>
      </c>
      <c r="B165" s="3">
        <v>103331102</v>
      </c>
      <c r="C165" t="s">
        <v>464</v>
      </c>
      <c r="D165" t="s">
        <v>175</v>
      </c>
      <c r="E165" s="3" t="s">
        <v>38</v>
      </c>
      <c r="F165" s="3">
        <v>2025</v>
      </c>
      <c r="G165" s="2">
        <v>9.3181818181818185E-2</v>
      </c>
      <c r="H165" s="3" t="s">
        <v>25</v>
      </c>
      <c r="I165" s="3" t="s">
        <v>465</v>
      </c>
      <c r="J165" s="11">
        <v>6.0729569861462503E-2</v>
      </c>
      <c r="K165" s="11">
        <f t="shared" si="6"/>
        <v>3.1389668610870666E-4</v>
      </c>
      <c r="L165" s="10">
        <v>0.1522</v>
      </c>
      <c r="M165" s="3">
        <v>1.726</v>
      </c>
      <c r="N165" s="11">
        <v>1.02552807766187E-2</v>
      </c>
      <c r="O165" s="11">
        <f t="shared" si="7"/>
        <v>1.939391380412051E-5</v>
      </c>
      <c r="P165" s="12">
        <v>0.25998209489704566</v>
      </c>
      <c r="Q165" s="14">
        <f t="shared" si="8"/>
        <v>0.58542493112947658</v>
      </c>
    </row>
    <row r="166" spans="1:17">
      <c r="A166" t="s">
        <v>466</v>
      </c>
      <c r="B166" s="3">
        <v>43432104</v>
      </c>
      <c r="C166" t="s">
        <v>112</v>
      </c>
      <c r="D166" t="s">
        <v>57</v>
      </c>
      <c r="E166" s="3" t="s">
        <v>47</v>
      </c>
      <c r="F166" s="3">
        <v>2025</v>
      </c>
      <c r="G166" s="2">
        <v>4.0037878787878789</v>
      </c>
      <c r="H166" s="3" t="s">
        <v>25</v>
      </c>
      <c r="I166" s="3" t="s">
        <v>467</v>
      </c>
      <c r="J166" s="11">
        <v>8.3282576597259794E-2</v>
      </c>
      <c r="K166" s="11">
        <f t="shared" si="6"/>
        <v>4.3046780776004692E-4</v>
      </c>
      <c r="L166" s="10">
        <v>0.15740000000000001</v>
      </c>
      <c r="M166" s="3">
        <v>8.3559999999999999</v>
      </c>
      <c r="N166" s="11">
        <v>0.37431263051712399</v>
      </c>
      <c r="O166" s="11">
        <f t="shared" si="7"/>
        <v>7.0786817544709149E-4</v>
      </c>
      <c r="P166" s="12">
        <v>5.5416293643688448E-2</v>
      </c>
      <c r="Q166" s="14">
        <f t="shared" si="8"/>
        <v>2.8403198707592896</v>
      </c>
    </row>
    <row r="167" spans="1:17">
      <c r="A167" t="s">
        <v>468</v>
      </c>
      <c r="B167" s="3">
        <v>82841102</v>
      </c>
      <c r="C167" t="s">
        <v>469</v>
      </c>
      <c r="D167" t="s">
        <v>470</v>
      </c>
      <c r="E167" s="3" t="s">
        <v>47</v>
      </c>
      <c r="F167" s="3">
        <v>2025</v>
      </c>
      <c r="G167" s="2">
        <v>5.5604166666666659</v>
      </c>
      <c r="H167" s="3" t="s">
        <v>25</v>
      </c>
      <c r="I167" s="3" t="s">
        <v>471</v>
      </c>
      <c r="J167" s="11">
        <v>9.9278857390119907E-2</v>
      </c>
      <c r="K167" s="11">
        <f t="shared" si="6"/>
        <v>5.1314877425458259E-4</v>
      </c>
      <c r="L167" s="10">
        <v>0.1696</v>
      </c>
      <c r="M167" s="3">
        <v>0.59599999999999997</v>
      </c>
      <c r="N167" s="11">
        <v>0.23797329712215201</v>
      </c>
      <c r="O167" s="11">
        <f t="shared" si="7"/>
        <v>4.5003483693901146E-4</v>
      </c>
      <c r="P167" s="12">
        <v>0.11763652641002685</v>
      </c>
      <c r="Q167" s="14">
        <f t="shared" si="8"/>
        <v>1.4417290715372908</v>
      </c>
    </row>
    <row r="168" spans="1:17">
      <c r="A168" t="s">
        <v>472</v>
      </c>
      <c r="B168" s="3">
        <v>43432104</v>
      </c>
      <c r="C168" t="s">
        <v>112</v>
      </c>
      <c r="D168" t="s">
        <v>57</v>
      </c>
      <c r="E168" s="3" t="s">
        <v>47</v>
      </c>
      <c r="F168" s="3">
        <v>2026</v>
      </c>
      <c r="G168" s="2">
        <v>12.957689393939395</v>
      </c>
      <c r="H168" s="3" t="s">
        <v>25</v>
      </c>
      <c r="I168" s="3" t="s">
        <v>473</v>
      </c>
      <c r="J168" s="11">
        <v>6.95380747456191E-2</v>
      </c>
      <c r="K168" s="11">
        <f t="shared" si="6"/>
        <v>3.5942575043464538E-4</v>
      </c>
      <c r="L168" s="10">
        <v>0.17380000000000001</v>
      </c>
      <c r="M168" s="3">
        <v>3.6190000000000002</v>
      </c>
      <c r="N168" s="11">
        <v>7.9090547762114802</v>
      </c>
      <c r="O168" s="11">
        <f t="shared" si="7"/>
        <v>1.4956930964935214E-2</v>
      </c>
      <c r="P168" s="12">
        <v>2.9543419874664277E-3</v>
      </c>
      <c r="Q168" s="14">
        <f t="shared" si="8"/>
        <v>58.828666666666678</v>
      </c>
    </row>
    <row r="169" spans="1:17">
      <c r="A169" t="s">
        <v>474</v>
      </c>
      <c r="B169" s="3">
        <v>24101103</v>
      </c>
      <c r="C169" t="s">
        <v>475</v>
      </c>
      <c r="D169" t="s">
        <v>424</v>
      </c>
      <c r="E169" s="3" t="s">
        <v>38</v>
      </c>
      <c r="F169" s="3">
        <v>2028</v>
      </c>
      <c r="G169" s="2">
        <v>0.8581439393939394</v>
      </c>
      <c r="H169" s="3" t="s">
        <v>25</v>
      </c>
      <c r="I169" s="3" t="s">
        <v>476</v>
      </c>
      <c r="J169" s="11">
        <v>0.12323862615305101</v>
      </c>
      <c r="K169" s="11">
        <f t="shared" si="6"/>
        <v>6.3699111385573219E-4</v>
      </c>
      <c r="L169" s="10">
        <v>0.1741</v>
      </c>
      <c r="M169" s="3">
        <v>1.7130000000000001</v>
      </c>
      <c r="N169" s="11">
        <v>8.2056861615910706E-2</v>
      </c>
      <c r="O169" s="11">
        <f t="shared" si="7"/>
        <v>1.5517894983859464E-4</v>
      </c>
      <c r="P169" s="12">
        <v>0.21790510295434198</v>
      </c>
      <c r="Q169" s="14">
        <f t="shared" si="8"/>
        <v>0.79897165160230077</v>
      </c>
    </row>
    <row r="170" spans="1:17">
      <c r="A170" t="s">
        <v>477</v>
      </c>
      <c r="B170" s="3">
        <v>43191101</v>
      </c>
      <c r="C170" t="s">
        <v>288</v>
      </c>
      <c r="D170" t="s">
        <v>75</v>
      </c>
      <c r="E170" s="3" t="s">
        <v>24</v>
      </c>
      <c r="F170" s="3">
        <v>2025</v>
      </c>
      <c r="G170" s="2">
        <v>1.8109848484848485</v>
      </c>
      <c r="H170" s="3" t="s">
        <v>25</v>
      </c>
      <c r="I170" s="3" t="s">
        <v>478</v>
      </c>
      <c r="J170" s="11">
        <v>0.16568079684685799</v>
      </c>
      <c r="K170" s="11">
        <f t="shared" si="6"/>
        <v>8.563645881358487E-4</v>
      </c>
      <c r="L170" s="10">
        <v>0.17480000000000001</v>
      </c>
      <c r="M170" s="3">
        <v>1.319</v>
      </c>
      <c r="N170" s="11">
        <v>0.80868237965796597</v>
      </c>
      <c r="O170" s="11">
        <f t="shared" si="7"/>
        <v>1.5293112599856782E-3</v>
      </c>
      <c r="P170" s="12">
        <v>6.0787824529991048E-2</v>
      </c>
      <c r="Q170" s="14">
        <f t="shared" si="8"/>
        <v>2.8755758468335788</v>
      </c>
    </row>
    <row r="171" spans="1:17">
      <c r="A171" t="s">
        <v>479</v>
      </c>
      <c r="B171" s="3">
        <v>103521103</v>
      </c>
      <c r="C171" t="s">
        <v>480</v>
      </c>
      <c r="D171" t="s">
        <v>37</v>
      </c>
      <c r="E171" s="3" t="s">
        <v>38</v>
      </c>
      <c r="F171" s="3">
        <v>2025</v>
      </c>
      <c r="G171" s="2">
        <v>4.2691287878787874</v>
      </c>
      <c r="H171" s="3" t="s">
        <v>25</v>
      </c>
      <c r="I171" s="3" t="s">
        <v>481</v>
      </c>
      <c r="J171" s="11">
        <v>0.75442307584915302</v>
      </c>
      <c r="K171" s="11">
        <f t="shared" si="6"/>
        <v>3.8994332410587514E-3</v>
      </c>
      <c r="L171" s="10">
        <v>0.18079999999999999</v>
      </c>
      <c r="M171" s="3">
        <v>1.0629999999999999</v>
      </c>
      <c r="N171" s="11">
        <v>0.34216047570589497</v>
      </c>
      <c r="O171" s="11">
        <f t="shared" si="7"/>
        <v>6.4706475790952619E-4</v>
      </c>
      <c r="P171" s="12">
        <v>0.21530886302596239</v>
      </c>
      <c r="Q171" s="14">
        <f t="shared" si="8"/>
        <v>0.83972390852390855</v>
      </c>
    </row>
    <row r="172" spans="1:17">
      <c r="A172" t="s">
        <v>482</v>
      </c>
      <c r="B172" s="3">
        <v>103132101</v>
      </c>
      <c r="C172" t="s">
        <v>483</v>
      </c>
      <c r="D172" t="s">
        <v>29</v>
      </c>
      <c r="E172" s="3" t="s">
        <v>38</v>
      </c>
      <c r="F172" s="3">
        <v>2025</v>
      </c>
      <c r="G172" s="2">
        <v>2.3386363636363638</v>
      </c>
      <c r="H172" s="3" t="s">
        <v>25</v>
      </c>
      <c r="I172" s="3" t="s">
        <v>484</v>
      </c>
      <c r="J172" s="11">
        <v>0.10147806098869</v>
      </c>
      <c r="K172" s="11">
        <f t="shared" si="6"/>
        <v>5.2451593399643935E-4</v>
      </c>
      <c r="L172" s="10">
        <v>0.18140000000000001</v>
      </c>
      <c r="M172" s="3">
        <v>1.1379999999999999</v>
      </c>
      <c r="N172" s="11">
        <v>0.34237940821117202</v>
      </c>
      <c r="O172" s="11">
        <f t="shared" si="7"/>
        <v>6.4747878442218329E-4</v>
      </c>
      <c r="P172" s="12">
        <v>7.6454789615040292E-2</v>
      </c>
      <c r="Q172" s="14">
        <f t="shared" si="8"/>
        <v>2.3726440281030445</v>
      </c>
    </row>
    <row r="173" spans="1:17">
      <c r="A173" t="s">
        <v>485</v>
      </c>
      <c r="B173" s="3">
        <v>254151101</v>
      </c>
      <c r="C173" t="s">
        <v>389</v>
      </c>
      <c r="D173" t="s">
        <v>390</v>
      </c>
      <c r="E173" s="3" t="s">
        <v>38</v>
      </c>
      <c r="F173" s="3">
        <v>2025</v>
      </c>
      <c r="G173" s="2">
        <v>1.6666666666666666E-2</v>
      </c>
      <c r="H173" s="3" t="s">
        <v>25</v>
      </c>
      <c r="I173" s="3" t="s">
        <v>445</v>
      </c>
      <c r="J173" s="11">
        <v>0.24408366305364401</v>
      </c>
      <c r="K173" s="11">
        <f t="shared" si="6"/>
        <v>1.2616103348104285E-3</v>
      </c>
      <c r="L173" s="10">
        <v>0.1983</v>
      </c>
      <c r="M173" s="3">
        <v>2.593</v>
      </c>
      <c r="N173" s="11">
        <v>0.164032094640788</v>
      </c>
      <c r="O173" s="11">
        <f t="shared" si="7"/>
        <v>3.1020353063621059E-4</v>
      </c>
      <c r="P173" s="12">
        <v>0.19033124440465532</v>
      </c>
      <c r="Q173" s="14">
        <f t="shared" si="8"/>
        <v>1.0418678269049859</v>
      </c>
    </row>
    <row r="174" spans="1:17">
      <c r="A174" t="s">
        <v>486</v>
      </c>
      <c r="B174" s="3">
        <v>103091102</v>
      </c>
      <c r="C174" t="s">
        <v>487</v>
      </c>
      <c r="D174" t="s">
        <v>72</v>
      </c>
      <c r="E174" s="3" t="s">
        <v>38</v>
      </c>
      <c r="F174" s="3">
        <v>2026</v>
      </c>
      <c r="G174" s="2">
        <v>0.89090909090909087</v>
      </c>
      <c r="H174" s="3" t="s">
        <v>25</v>
      </c>
      <c r="I174" s="3" t="s">
        <v>488</v>
      </c>
      <c r="J174" s="11">
        <v>1.9791729182327699E-2</v>
      </c>
      <c r="K174" s="11">
        <f t="shared" si="6"/>
        <v>1.0229873547377099E-4</v>
      </c>
      <c r="L174" s="10">
        <v>0.2009</v>
      </c>
      <c r="M174" s="3">
        <v>2.6150000000000002</v>
      </c>
      <c r="N174" s="11">
        <v>8.0788368986759399E-3</v>
      </c>
      <c r="O174" s="11">
        <f t="shared" si="7"/>
        <v>1.527800845859717E-5</v>
      </c>
      <c r="P174" s="12">
        <v>0.22300805729632944</v>
      </c>
      <c r="Q174" s="14">
        <f t="shared" si="8"/>
        <v>0.90086431152147739</v>
      </c>
    </row>
    <row r="175" spans="1:17">
      <c r="A175" t="s">
        <v>489</v>
      </c>
      <c r="B175" s="3">
        <v>152261107</v>
      </c>
      <c r="C175" t="s">
        <v>490</v>
      </c>
      <c r="D175" t="s">
        <v>33</v>
      </c>
      <c r="E175" s="3" t="s">
        <v>38</v>
      </c>
      <c r="F175" s="3">
        <v>2026</v>
      </c>
      <c r="G175" s="2">
        <v>1.3299242424242423</v>
      </c>
      <c r="H175" s="3" t="s">
        <v>25</v>
      </c>
      <c r="I175" s="3" t="s">
        <v>491</v>
      </c>
      <c r="J175" s="11">
        <v>0.48598802949203201</v>
      </c>
      <c r="K175" s="11">
        <f t="shared" si="6"/>
        <v>2.5119564043356375E-3</v>
      </c>
      <c r="L175" s="10">
        <v>0.2109</v>
      </c>
      <c r="M175" s="3">
        <v>0.28899999999999998</v>
      </c>
      <c r="N175" s="11">
        <v>1.3496728763275301</v>
      </c>
      <c r="O175" s="11">
        <f t="shared" si="7"/>
        <v>2.5523864238737991E-3</v>
      </c>
      <c r="P175" s="12">
        <v>0.10599820948970456</v>
      </c>
      <c r="Q175" s="14">
        <f t="shared" si="8"/>
        <v>1.9896562500000001</v>
      </c>
    </row>
    <row r="176" spans="1:17">
      <c r="A176" t="s">
        <v>492</v>
      </c>
      <c r="B176" s="3">
        <v>163781705</v>
      </c>
      <c r="C176" t="s">
        <v>493</v>
      </c>
      <c r="D176" t="s">
        <v>109</v>
      </c>
      <c r="E176" s="3" t="s">
        <v>38</v>
      </c>
      <c r="F176" s="3">
        <v>2025</v>
      </c>
      <c r="G176" s="2">
        <v>7.4810606060606064E-2</v>
      </c>
      <c r="H176" s="3" t="s">
        <v>25</v>
      </c>
      <c r="I176" s="3" t="s">
        <v>494</v>
      </c>
      <c r="J176" s="11">
        <v>0.111003969086823</v>
      </c>
      <c r="K176" s="11">
        <f t="shared" si="6"/>
        <v>5.7375308471233001E-4</v>
      </c>
      <c r="L176" s="10">
        <v>0.25430000000000003</v>
      </c>
      <c r="M176" s="3">
        <v>0.72199999999999998</v>
      </c>
      <c r="N176" s="11">
        <v>0.14727635950976001</v>
      </c>
      <c r="O176" s="11">
        <f t="shared" si="7"/>
        <v>2.7851651104755977E-4</v>
      </c>
      <c r="P176" s="12">
        <v>0.15917636526410026</v>
      </c>
      <c r="Q176" s="14">
        <f t="shared" si="8"/>
        <v>1.5975989876265471</v>
      </c>
    </row>
    <row r="177" spans="1:17">
      <c r="A177" t="s">
        <v>495</v>
      </c>
      <c r="B177" s="3">
        <v>102812101</v>
      </c>
      <c r="C177" t="s">
        <v>496</v>
      </c>
      <c r="D177" t="s">
        <v>29</v>
      </c>
      <c r="E177" s="3" t="s">
        <v>497</v>
      </c>
      <c r="F177" s="3">
        <v>2025</v>
      </c>
      <c r="G177" s="2">
        <v>5.3070075757575754</v>
      </c>
      <c r="H177" s="3" t="s">
        <v>25</v>
      </c>
      <c r="I177" s="3" t="s">
        <v>498</v>
      </c>
      <c r="J177" s="11">
        <v>0.14455543213178701</v>
      </c>
      <c r="K177" s="11">
        <f t="shared" si="6"/>
        <v>7.4717260814939775E-4</v>
      </c>
      <c r="L177" s="10">
        <v>0.27560000000000001</v>
      </c>
      <c r="M177" s="3">
        <v>0.47899999999999998</v>
      </c>
      <c r="N177" s="11">
        <v>0.134288912474858</v>
      </c>
      <c r="O177" s="11">
        <f t="shared" si="7"/>
        <v>2.5395575704999663E-4</v>
      </c>
      <c r="P177" s="12">
        <v>0.19113697403760072</v>
      </c>
      <c r="Q177" s="14">
        <f t="shared" si="8"/>
        <v>1.4418978922716628</v>
      </c>
    </row>
    <row r="178" spans="1:17">
      <c r="A178" t="s">
        <v>499</v>
      </c>
      <c r="B178" s="3">
        <v>152701108</v>
      </c>
      <c r="C178" t="s">
        <v>500</v>
      </c>
      <c r="D178" t="s">
        <v>64</v>
      </c>
      <c r="E178" s="3" t="s">
        <v>38</v>
      </c>
      <c r="F178" s="3">
        <v>2026</v>
      </c>
      <c r="G178" s="2">
        <v>3.7981060606060604</v>
      </c>
      <c r="H178" s="3" t="s">
        <v>25</v>
      </c>
      <c r="I178" s="3" t="s">
        <v>501</v>
      </c>
      <c r="J178" s="11">
        <v>0.163631693434732</v>
      </c>
      <c r="K178" s="11">
        <f t="shared" si="6"/>
        <v>8.4577326051690305E-4</v>
      </c>
      <c r="L178" s="10">
        <v>0.28029999999999999</v>
      </c>
      <c r="M178" s="3">
        <v>0.311</v>
      </c>
      <c r="N178" s="11">
        <v>0.11159256572786</v>
      </c>
      <c r="O178" s="11">
        <f t="shared" si="7"/>
        <v>2.1103435859513733E-4</v>
      </c>
      <c r="P178" s="12">
        <v>0.24037600716204119</v>
      </c>
      <c r="Q178" s="14">
        <f t="shared" si="8"/>
        <v>1.1660897579143388</v>
      </c>
    </row>
    <row r="179" spans="1:17">
      <c r="A179" t="s">
        <v>502</v>
      </c>
      <c r="B179" s="3">
        <v>82931101</v>
      </c>
      <c r="C179" t="s">
        <v>503</v>
      </c>
      <c r="D179" t="s">
        <v>470</v>
      </c>
      <c r="E179" s="3" t="s">
        <v>38</v>
      </c>
      <c r="F179" s="3">
        <v>2026</v>
      </c>
      <c r="G179" s="2">
        <v>1.1119318181818183</v>
      </c>
      <c r="H179" s="3" t="s">
        <v>25</v>
      </c>
      <c r="I179" s="3" t="s">
        <v>504</v>
      </c>
      <c r="J179" s="11">
        <v>6.2155078867954697E-2</v>
      </c>
      <c r="K179" s="11">
        <f t="shared" si="6"/>
        <v>3.212648027309185E-4</v>
      </c>
      <c r="L179" s="10">
        <v>0.33279999999999998</v>
      </c>
      <c r="M179" s="3">
        <v>0.373</v>
      </c>
      <c r="N179" s="11">
        <v>7.1659483057146603E-2</v>
      </c>
      <c r="O179" s="11">
        <f t="shared" si="7"/>
        <v>1.3551631280800063E-4</v>
      </c>
      <c r="P179" s="12">
        <v>0.19838854073410922</v>
      </c>
      <c r="Q179" s="14">
        <f t="shared" si="8"/>
        <v>1.6775162454873644</v>
      </c>
    </row>
    <row r="180" spans="1:17">
      <c r="A180" t="s">
        <v>505</v>
      </c>
      <c r="B180" s="3">
        <v>12501105</v>
      </c>
      <c r="C180" t="s">
        <v>506</v>
      </c>
      <c r="D180" t="s">
        <v>194</v>
      </c>
      <c r="E180" s="3" t="s">
        <v>24</v>
      </c>
      <c r="F180" s="3">
        <v>2026</v>
      </c>
      <c r="G180" s="2">
        <v>1.73125</v>
      </c>
      <c r="H180" s="3" t="s">
        <v>25</v>
      </c>
      <c r="I180" s="3" t="s">
        <v>170</v>
      </c>
      <c r="J180" s="11">
        <v>7.5279717317960598E-2</v>
      </c>
      <c r="K180" s="11">
        <f t="shared" si="6"/>
        <v>3.8910293373085625E-4</v>
      </c>
      <c r="L180" s="10">
        <v>0.35460000000000003</v>
      </c>
      <c r="M180" s="3">
        <v>3.0760000000000001</v>
      </c>
      <c r="N180" s="11">
        <v>5.0822780295523701E-2</v>
      </c>
      <c r="O180" s="11">
        <f t="shared" si="7"/>
        <v>9.6111714716222866E-5</v>
      </c>
      <c r="P180" s="12">
        <v>0.23572068039391225</v>
      </c>
      <c r="Q180" s="14">
        <f t="shared" si="8"/>
        <v>1.5043228256741361</v>
      </c>
    </row>
    <row r="181" spans="1:17">
      <c r="A181" t="s">
        <v>507</v>
      </c>
      <c r="B181" s="3">
        <v>102812101</v>
      </c>
      <c r="C181" t="s">
        <v>496</v>
      </c>
      <c r="D181" t="s">
        <v>29</v>
      </c>
      <c r="E181" s="3" t="s">
        <v>38</v>
      </c>
      <c r="F181" s="3">
        <v>2028</v>
      </c>
      <c r="G181" s="2">
        <v>1.0899621212121211</v>
      </c>
      <c r="H181" s="3" t="s">
        <v>25</v>
      </c>
      <c r="I181" s="3" t="s">
        <v>508</v>
      </c>
      <c r="J181" s="11">
        <v>4.8129967997085098E-2</v>
      </c>
      <c r="K181" s="11">
        <f t="shared" si="6"/>
        <v>2.487723442018018E-4</v>
      </c>
      <c r="L181" s="10">
        <v>0.43680000000000002</v>
      </c>
      <c r="M181" s="3">
        <v>0.71899999999999997</v>
      </c>
      <c r="N181" s="11">
        <v>0.15782324914152901</v>
      </c>
      <c r="O181" s="11">
        <f t="shared" si="7"/>
        <v>2.9846189068908545E-4</v>
      </c>
      <c r="P181" s="12">
        <v>0.13724261414503133</v>
      </c>
      <c r="Q181" s="14">
        <f t="shared" si="8"/>
        <v>3.1826849315068495</v>
      </c>
    </row>
    <row r="182" spans="1:17">
      <c r="A182" t="s">
        <v>509</v>
      </c>
      <c r="B182" s="3">
        <v>42711101</v>
      </c>
      <c r="C182" t="s">
        <v>56</v>
      </c>
      <c r="D182" t="s">
        <v>57</v>
      </c>
      <c r="E182" s="3" t="s">
        <v>84</v>
      </c>
      <c r="F182" s="3">
        <v>2025</v>
      </c>
      <c r="G182" s="2">
        <v>0.19696969696969696</v>
      </c>
      <c r="H182" s="3" t="s">
        <v>25</v>
      </c>
      <c r="I182" s="3" t="s">
        <v>510</v>
      </c>
      <c r="J182" s="11">
        <v>1.2097693723855199E-2</v>
      </c>
      <c r="K182" s="11">
        <f t="shared" si="6"/>
        <v>6.2530098239441009E-5</v>
      </c>
      <c r="L182" s="10">
        <v>0.50019999999999998</v>
      </c>
      <c r="M182" s="3">
        <v>-0.495</v>
      </c>
      <c r="N182" s="11">
        <v>2.25463573303841E-3</v>
      </c>
      <c r="O182" s="11">
        <f t="shared" si="7"/>
        <v>4.2637751241223536E-6</v>
      </c>
      <c r="P182" s="12">
        <v>0.40922112802148614</v>
      </c>
      <c r="Q182" s="14">
        <f t="shared" si="8"/>
        <v>1.2223220301903301</v>
      </c>
    </row>
    <row r="183" spans="1:17">
      <c r="A183" t="s">
        <v>511</v>
      </c>
      <c r="B183" s="3">
        <v>43071101</v>
      </c>
      <c r="C183" t="s">
        <v>512</v>
      </c>
      <c r="D183" t="s">
        <v>79</v>
      </c>
      <c r="E183" s="3" t="s">
        <v>38</v>
      </c>
      <c r="F183" s="3">
        <v>2025</v>
      </c>
      <c r="G183" s="2">
        <v>0.43333333333333335</v>
      </c>
      <c r="H183" s="3" t="s">
        <v>25</v>
      </c>
      <c r="I183" s="3" t="s">
        <v>110</v>
      </c>
      <c r="J183" s="11">
        <v>1.26430919893279E-2</v>
      </c>
      <c r="K183" s="11">
        <f t="shared" si="6"/>
        <v>6.5349132007206192E-5</v>
      </c>
      <c r="L183" s="10">
        <v>0.50819999999999999</v>
      </c>
      <c r="M183" s="3">
        <v>-3.0510000000000002</v>
      </c>
      <c r="N183" s="11">
        <v>5.7226299651726197E-3</v>
      </c>
      <c r="O183" s="11">
        <f t="shared" si="7"/>
        <v>1.082215052858142E-5</v>
      </c>
      <c r="P183" s="12">
        <v>0.27027752909579228</v>
      </c>
      <c r="Q183" s="14">
        <f t="shared" si="8"/>
        <v>1.8802894998343824</v>
      </c>
    </row>
    <row r="184" spans="1:17">
      <c r="A184" t="s">
        <v>513</v>
      </c>
      <c r="B184" s="3">
        <v>43141101</v>
      </c>
      <c r="C184" t="s">
        <v>74</v>
      </c>
      <c r="D184" t="s">
        <v>75</v>
      </c>
      <c r="E184" s="3" t="s">
        <v>47</v>
      </c>
      <c r="F184" s="3">
        <v>2027</v>
      </c>
      <c r="G184" s="2">
        <v>1.4515151515151514</v>
      </c>
      <c r="H184" s="3" t="s">
        <v>25</v>
      </c>
      <c r="I184" s="3" t="s">
        <v>514</v>
      </c>
      <c r="J184" s="11" t="s">
        <v>515</v>
      </c>
      <c r="K184" s="11"/>
      <c r="L184" s="10" t="s">
        <v>515</v>
      </c>
      <c r="M184" s="3" t="s">
        <v>515</v>
      </c>
      <c r="N184" s="11">
        <v>5.7642673679104801</v>
      </c>
      <c r="O184" s="11"/>
      <c r="P184" s="12">
        <v>1.1638316920322292E-3</v>
      </c>
      <c r="Q184" s="14" t="e">
        <f t="shared" si="8"/>
        <v>#VALUE!</v>
      </c>
    </row>
    <row r="185" spans="1:17">
      <c r="A185" t="s">
        <v>516</v>
      </c>
      <c r="B185" s="3">
        <v>254452101</v>
      </c>
      <c r="C185" t="s">
        <v>209</v>
      </c>
      <c r="D185" t="s">
        <v>116</v>
      </c>
      <c r="E185" s="3" t="s">
        <v>24</v>
      </c>
      <c r="F185" s="3">
        <v>2026</v>
      </c>
      <c r="G185" s="2">
        <v>2.6763257575757575</v>
      </c>
      <c r="H185" s="3" t="s">
        <v>25</v>
      </c>
      <c r="I185" s="3" t="s">
        <v>517</v>
      </c>
      <c r="J185" s="11" t="s">
        <v>515</v>
      </c>
      <c r="K185" s="11"/>
      <c r="L185" s="10" t="s">
        <v>515</v>
      </c>
      <c r="M185" s="3" t="s">
        <v>515</v>
      </c>
      <c r="N185" s="3" t="s">
        <v>515</v>
      </c>
      <c r="O185" s="3"/>
      <c r="P185" s="3" t="s">
        <v>515</v>
      </c>
      <c r="Q185" s="14" t="str">
        <f t="shared" si="8"/>
        <v/>
      </c>
    </row>
    <row r="186" spans="1:17">
      <c r="A186" t="s">
        <v>518</v>
      </c>
      <c r="B186" s="3">
        <v>43071101</v>
      </c>
      <c r="C186" t="s">
        <v>512</v>
      </c>
      <c r="D186" t="s">
        <v>79</v>
      </c>
      <c r="E186" s="3" t="s">
        <v>24</v>
      </c>
      <c r="F186" s="3">
        <v>2026</v>
      </c>
      <c r="G186" s="2">
        <v>1.6791666666666667</v>
      </c>
      <c r="H186" s="3" t="s">
        <v>25</v>
      </c>
      <c r="I186" s="3" t="s">
        <v>519</v>
      </c>
      <c r="J186" s="11" t="s">
        <v>515</v>
      </c>
      <c r="K186" s="11"/>
      <c r="L186" s="10" t="s">
        <v>515</v>
      </c>
      <c r="M186" s="3" t="s">
        <v>515</v>
      </c>
      <c r="N186" s="3" t="s">
        <v>515</v>
      </c>
      <c r="O186" s="3"/>
      <c r="P186" s="3" t="s">
        <v>515</v>
      </c>
      <c r="Q186" s="14" t="str">
        <f t="shared" si="8"/>
        <v/>
      </c>
    </row>
    <row r="187" spans="1:17">
      <c r="A187" t="s">
        <v>520</v>
      </c>
      <c r="B187" s="3">
        <v>163351701</v>
      </c>
      <c r="C187" t="s">
        <v>299</v>
      </c>
      <c r="D187" t="s">
        <v>109</v>
      </c>
      <c r="E187" s="3" t="s">
        <v>38</v>
      </c>
      <c r="F187" s="3">
        <v>2026</v>
      </c>
      <c r="G187" s="2">
        <v>0.24507575757575759</v>
      </c>
      <c r="H187" s="3" t="s">
        <v>25</v>
      </c>
      <c r="I187" s="3" t="s">
        <v>521</v>
      </c>
      <c r="J187" s="11" t="s">
        <v>515</v>
      </c>
      <c r="K187" s="11"/>
      <c r="L187" s="10" t="s">
        <v>515</v>
      </c>
      <c r="M187" s="3" t="s">
        <v>515</v>
      </c>
      <c r="N187" s="11">
        <v>4.0240996036009102</v>
      </c>
      <c r="O187" s="11"/>
      <c r="P187" s="12">
        <v>3.0438675022381378E-3</v>
      </c>
      <c r="Q187" s="14" t="e">
        <f t="shared" si="8"/>
        <v>#VALUE!</v>
      </c>
    </row>
    <row r="188" spans="1:17">
      <c r="H188" s="2"/>
    </row>
  </sheetData>
  <autoFilter ref="A6:P187" xr:uid="{00000000-0009-0000-0000-000000000000}"/>
  <mergeCells count="1">
    <mergeCell ref="N5:P5"/>
  </mergeCells>
  <pageMargins left="0.7" right="0.7" top="0.75" bottom="0.75" header="0.3" footer="0.3"/>
  <pageSetup orientation="portrait" r:id="rId1"/>
  <headerFooter>
    <oddHeader>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edDescripofDocs xmlns="c4602f8a-0572-4c4f-9a95-eefe6e0bb767" xsi:nil="true"/>
    <IconOverlay xmlns="http://schemas.microsoft.com/sharepoint/v4" xsi:nil="true"/>
    <mca9ac2a47d44219b4ff213ace4480ec xmlns="97e57212-3e02-407f-8b2d-05f7d7f19b15">
      <Terms xmlns="http://schemas.microsoft.com/office/infopath/2007/PartnerControls"/>
    </mca9ac2a47d44219b4ff213ace4480ec>
    <pgeRetentionTriggerDate xmlns="97e57212-3e02-407f-8b2d-05f7d7f19b15" xsi:nil="true"/>
    <DescripofDoc xmlns="c4602f8a-0572-4c4f-9a95-eefe6e0bb767" xsi:nil="true"/>
    <Notes xmlns="c4602f8a-0572-4c4f-9a95-eefe6e0bb767" xsi:nil="true"/>
    <lcf76f155ced4ddcb4097134ff3c332f xmlns="c4602f8a-0572-4c4f-9a95-eefe6e0bb767">
      <Terms xmlns="http://schemas.microsoft.com/office/infopath/2007/PartnerControls"/>
    </lcf76f155ced4ddcb4097134ff3c332f>
    <Status xmlns="c4602f8a-0572-4c4f-9a95-eefe6e0bb767" xsi:nil="true"/>
    <TaxCatchAll xmlns="97e57212-3e02-407f-8b2d-05f7d7f19b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26EBF7A5EB4A886AC182E693409D" ma:contentTypeVersion="16" ma:contentTypeDescription="Create a new document." ma:contentTypeScope="" ma:versionID="f3534176e2975dd61dc7ce9a1f28c992">
  <xsd:schema xmlns:xsd="http://www.w3.org/2001/XMLSchema" xmlns:xs="http://www.w3.org/2001/XMLSchema" xmlns:p="http://schemas.microsoft.com/office/2006/metadata/properties" xmlns:ns2="97e57212-3e02-407f-8b2d-05f7d7f19b15" xmlns:ns3="c4602f8a-0572-4c4f-9a95-eefe6e0bb767" xmlns:ns4="http://schemas.microsoft.com/sharepoint/v4" targetNamespace="http://schemas.microsoft.com/office/2006/metadata/properties" ma:root="true" ma:fieldsID="33465e72b67490446c81c3838d8d7e06" ns2:_="" ns3:_="" ns4:_="">
    <xsd:import namespace="97e57212-3e02-407f-8b2d-05f7d7f19b15"/>
    <xsd:import namespace="c4602f8a-0572-4c4f-9a95-eefe6e0bb76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Status" minOccurs="0"/>
                <xsd:element ref="ns3:Notes" minOccurs="0"/>
                <xsd:element ref="ns3:lcf76f155ced4ddcb4097134ff3c332f" minOccurs="0"/>
                <xsd:element ref="ns3:MediaServiceOCR" minOccurs="0"/>
                <xsd:element ref="ns3:DescripofDoc" minOccurs="0"/>
                <xsd:element ref="ns3:DetailedDescripofDoc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4d33076b-455d-41d7-9ee7-c5d871f9ad53}" ma:internalName="TaxCatchAll" ma:showField="CatchAllData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4d33076b-455d-41d7-9ee7-c5d871f9ad53}" ma:internalName="TaxCatchAllLabel" ma:readOnly="true" ma:showField="CatchAllDataLabel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02f8a-0572-4c4f-9a95-eefe6e0bb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Complete"/>
        </xsd:restriction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ofDoc" ma:index="26" nillable="true" ma:displayName="Descrip of Doc" ma:format="Dropdown" ma:internalName="DescripofDoc">
      <xsd:simpleType>
        <xsd:restriction base="dms:Text">
          <xsd:maxLength value="255"/>
        </xsd:restriction>
      </xsd:simpleType>
    </xsd:element>
    <xsd:element name="DetailedDescripofDocs" ma:index="27" nillable="true" ma:displayName="Detailed Descrip of Docs" ma:format="Dropdown" ma:internalName="DetailedDescripofDoc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b06c99b3-cd83-43e5-b4c1-d62f316c1e37" ContentTypeId="0x01" PreviousValue="false"/>
</file>

<file path=customXml/itemProps1.xml><?xml version="1.0" encoding="utf-8"?>
<ds:datastoreItem xmlns:ds="http://schemas.openxmlformats.org/officeDocument/2006/customXml" ds:itemID="{8F4B9024-86E1-4C92-AD5C-2DCF4FCFAD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12D7B8-A929-4ED6-902B-00274E249272}">
  <ds:schemaRefs>
    <ds:schemaRef ds:uri="http://purl.org/dc/dcmitype/"/>
    <ds:schemaRef ds:uri="http://schemas.microsoft.com/sharepoint/v4"/>
    <ds:schemaRef ds:uri="http://purl.org/dc/elements/1.1/"/>
    <ds:schemaRef ds:uri="http://schemas.microsoft.com/office/2006/metadata/properties"/>
    <ds:schemaRef ds:uri="http://schemas.microsoft.com/office/infopath/2007/PartnerControls"/>
    <ds:schemaRef ds:uri="97e57212-3e02-407f-8b2d-05f7d7f19b15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4602f8a-0572-4c4f-9a95-eefe6e0bb76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F56309-E158-4410-8C98-FCA43E486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4602f8a-0572-4c4f-9a95-eefe6e0bb76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E72DA35-878A-41BC-8B23-5059C9CFC02B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746d2a3f-4d51-44da-b226-f025675a294d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MGRA 004 Q010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2025-12-18T21:26:31Z</dcterms:created>
  <dcterms:modified xsi:type="dcterms:W3CDTF">2026-02-07T21:26:17Z</dcterms:modified>
  <cp:category/>
</cp:coreProperties>
</file>