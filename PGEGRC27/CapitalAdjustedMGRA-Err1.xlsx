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m/Work/WEEDS/Business/PowerLines/PGEGRC27/DRs/"/>
    </mc:Choice>
  </mc:AlternateContent>
  <xr:revisionPtr revIDLastSave="0" documentId="13_ncr:1_{1CEB31D0-0A58-CE4A-BF84-33E435E756B4}" xr6:coauthVersionLast="47" xr6:coauthVersionMax="47" xr10:uidLastSave="{00000000-0000-0000-0000-000000000000}"/>
  <bookViews>
    <workbookView xWindow="6200" yWindow="1280" windowWidth="24940" windowHeight="13560" activeTab="1" xr2:uid="{8A3335EB-F67C-DD47-854C-C8FAB06E4592}"/>
  </bookViews>
  <sheets>
    <sheet name="Input" sheetId="1" r:id="rId1"/>
    <sheet name="Adjust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 s="1"/>
  <c r="D4" i="2"/>
  <c r="D5" i="2" s="1"/>
  <c r="C4" i="2"/>
  <c r="C5" i="2" s="1"/>
  <c r="C3" i="2"/>
  <c r="B3" i="2"/>
  <c r="B4" i="2" s="1"/>
  <c r="C8" i="2" l="1"/>
  <c r="B13" i="2"/>
  <c r="D8" i="2"/>
  <c r="B8" i="2"/>
  <c r="F4" i="1"/>
  <c r="F3" i="1"/>
  <c r="F2" i="1"/>
  <c r="E3" i="2"/>
  <c r="E13" i="2" s="1"/>
  <c r="D3" i="2"/>
  <c r="D13" i="2" s="1"/>
  <c r="C13" i="2"/>
  <c r="E4" i="1"/>
  <c r="D4" i="1"/>
  <c r="C4" i="1"/>
  <c r="B4" i="1"/>
  <c r="E8" i="2" l="1"/>
  <c r="F3" i="2"/>
  <c r="F13" i="2" l="1"/>
  <c r="F8" i="2"/>
  <c r="E9" i="2"/>
  <c r="E14" i="2"/>
  <c r="D9" i="2"/>
  <c r="D14" i="2"/>
  <c r="B5" i="2"/>
  <c r="B9" i="2"/>
  <c r="B14" i="2"/>
  <c r="F4" i="2"/>
  <c r="C9" i="2"/>
  <c r="C14" i="2"/>
  <c r="C10" i="2" l="1"/>
  <c r="C15" i="2"/>
  <c r="F14" i="2"/>
  <c r="F9" i="2"/>
  <c r="F5" i="2"/>
  <c r="B10" i="2"/>
  <c r="B15" i="2"/>
  <c r="D15" i="2"/>
  <c r="D10" i="2"/>
  <c r="E15" i="2"/>
  <c r="E10" i="2"/>
  <c r="F15" i="2" l="1"/>
  <c r="F10" i="2"/>
</calcChain>
</file>

<file path=xl/sharedStrings.xml><?xml version="1.0" encoding="utf-8"?>
<sst xmlns="http://schemas.openxmlformats.org/spreadsheetml/2006/main" count="23" uniqueCount="12">
  <si>
    <t>Undergrounding</t>
  </si>
  <si>
    <t>Overhead</t>
  </si>
  <si>
    <t>Subtotal</t>
  </si>
  <si>
    <t>MAT 08W/3UG ($k)</t>
  </si>
  <si>
    <t>Comment</t>
  </si>
  <si>
    <t>Step 1</t>
  </si>
  <si>
    <t>Total</t>
  </si>
  <si>
    <t>Step 2A</t>
  </si>
  <si>
    <t>For GRC</t>
  </si>
  <si>
    <t>Step 2B</t>
  </si>
  <si>
    <t>Balancing Account</t>
  </si>
  <si>
    <t>33% UG to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</si>
</sst>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64" fontId="0" fillId="0" borderId="0" xfId="0" applyNumberForma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64" fontId="0" fillId="0" borderId="1" xfId="1" applyNumberFormat="1" applyFont="1" applyBorder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C92B-F80E-0844-9F4B-55A61C12C1B7}">
  <dimension ref="A1:F4"/>
  <sheetViews>
    <sheetView workbookViewId="0">
      <selection activeCell="F2" sqref="F2:F4"/>
    </sheetView>
  </sheetViews>
  <sheetFormatPr baseColWidth="10" defaultRowHeight="16" x14ac:dyDescent="0.2"/>
  <cols>
    <col min="1" max="1" width="18.5" customWidth="1"/>
    <col min="2" max="5" width="12.5" bestFit="1" customWidth="1"/>
  </cols>
  <sheetData>
    <row r="1" spans="1:6" ht="19" x14ac:dyDescent="0.25">
      <c r="A1" s="1" t="s">
        <v>3</v>
      </c>
      <c r="B1">
        <v>2027</v>
      </c>
      <c r="C1">
        <v>2028</v>
      </c>
      <c r="D1">
        <v>2029</v>
      </c>
      <c r="E1">
        <v>2030</v>
      </c>
      <c r="F1" s="2" t="s">
        <v>6</v>
      </c>
    </row>
    <row r="2" spans="1:6" x14ac:dyDescent="0.2">
      <c r="A2" t="s">
        <v>0</v>
      </c>
      <c r="B2" s="3">
        <v>732425</v>
      </c>
      <c r="C2" s="3">
        <v>64765</v>
      </c>
      <c r="D2" s="3">
        <v>0</v>
      </c>
      <c r="E2" s="3">
        <v>0</v>
      </c>
      <c r="F2" s="4">
        <f>SUM(B2:E2)</f>
        <v>797190</v>
      </c>
    </row>
    <row r="3" spans="1:6" x14ac:dyDescent="0.2">
      <c r="A3" t="s">
        <v>1</v>
      </c>
      <c r="B3" s="3">
        <v>197282</v>
      </c>
      <c r="C3" s="3">
        <v>197487</v>
      </c>
      <c r="D3" s="3">
        <v>204130</v>
      </c>
      <c r="E3" s="3">
        <v>264630</v>
      </c>
      <c r="F3" s="4">
        <f t="shared" ref="F3:F4" si="0">SUM(B3:E3)</f>
        <v>863529</v>
      </c>
    </row>
    <row r="4" spans="1:6" x14ac:dyDescent="0.2">
      <c r="A4" s="2" t="s">
        <v>2</v>
      </c>
      <c r="B4" s="3">
        <f>SUM(B2:B3)</f>
        <v>929707</v>
      </c>
      <c r="C4" s="3">
        <f t="shared" ref="C4:E4" si="1">SUM(C2:C3)</f>
        <v>262252</v>
      </c>
      <c r="D4" s="3">
        <f t="shared" si="1"/>
        <v>204130</v>
      </c>
      <c r="E4" s="3">
        <f t="shared" si="1"/>
        <v>264630</v>
      </c>
      <c r="F4" s="4">
        <f t="shared" si="0"/>
        <v>1660719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32C-CA5E-0249-BA4E-2BAB599BB6C2}">
  <dimension ref="A1:G17"/>
  <sheetViews>
    <sheetView tabSelected="1" zoomScale="112" workbookViewId="0">
      <selection activeCell="F13" sqref="F13"/>
    </sheetView>
  </sheetViews>
  <sheetFormatPr baseColWidth="10" defaultRowHeight="16" x14ac:dyDescent="0.2"/>
  <cols>
    <col min="1" max="1" width="21" customWidth="1"/>
    <col min="2" max="2" width="11.5" bestFit="1" customWidth="1"/>
    <col min="7" max="7" width="16.83203125" customWidth="1"/>
  </cols>
  <sheetData>
    <row r="1" spans="1:7" ht="19" x14ac:dyDescent="0.25">
      <c r="A1" s="5" t="s">
        <v>3</v>
      </c>
      <c r="B1" s="6">
        <v>2027</v>
      </c>
      <c r="C1" s="6">
        <v>2028</v>
      </c>
      <c r="D1" s="6">
        <v>2029</v>
      </c>
      <c r="E1" s="6">
        <v>2030</v>
      </c>
      <c r="F1" s="7" t="s">
        <v>6</v>
      </c>
      <c r="G1" s="6" t="s">
        <v>4</v>
      </c>
    </row>
    <row r="2" spans="1:7" x14ac:dyDescent="0.2">
      <c r="A2" s="7" t="s">
        <v>5</v>
      </c>
      <c r="B2" s="6"/>
      <c r="C2" s="6"/>
      <c r="D2" s="6"/>
      <c r="E2" s="6"/>
      <c r="F2" s="6"/>
      <c r="G2" s="6" t="s">
        <v>11</v>
      </c>
    </row>
    <row r="3" spans="1:7" x14ac:dyDescent="0.2">
      <c r="A3" s="6" t="s">
        <v>0</v>
      </c>
      <c r="B3" s="8">
        <f>0.666*Input!B2</f>
        <v>487795.05000000005</v>
      </c>
      <c r="C3" s="8">
        <f>0.666*Input!C2</f>
        <v>43133.490000000005</v>
      </c>
      <c r="D3" s="8">
        <f>0.5*Input!D2</f>
        <v>0</v>
      </c>
      <c r="E3" s="8">
        <f>0.5*Input!E2</f>
        <v>0</v>
      </c>
      <c r="F3" s="9">
        <f>SUM(B3:E3)</f>
        <v>530928.54</v>
      </c>
      <c r="G3" s="6"/>
    </row>
    <row r="4" spans="1:7" x14ac:dyDescent="0.2">
      <c r="A4" s="6" t="s">
        <v>1</v>
      </c>
      <c r="B4" s="8">
        <f>Input!B3+Input!B2-Adjustments!B3</f>
        <v>441911.94999999995</v>
      </c>
      <c r="C4" s="8">
        <f>Input!C3+Input!C2-Adjustments!C3</f>
        <v>219118.51</v>
      </c>
      <c r="D4" s="8">
        <f>Input!D3+Input!D2-Adjustments!D3</f>
        <v>204130</v>
      </c>
      <c r="E4" s="8">
        <f>Input!E3+Input!E2-Adjustments!E3</f>
        <v>264630</v>
      </c>
      <c r="F4" s="9">
        <f t="shared" ref="F4:F5" si="0">SUM(B4:E4)</f>
        <v>1129790.46</v>
      </c>
      <c r="G4" s="6"/>
    </row>
    <row r="5" spans="1:7" x14ac:dyDescent="0.2">
      <c r="A5" s="7" t="s">
        <v>2</v>
      </c>
      <c r="B5" s="8">
        <f>SUM(B3:B4)</f>
        <v>929707</v>
      </c>
      <c r="C5" s="8">
        <f t="shared" ref="C5:E5" si="1">SUM(C3:C4)</f>
        <v>262252</v>
      </c>
      <c r="D5" s="8">
        <f t="shared" si="1"/>
        <v>204130</v>
      </c>
      <c r="E5" s="8">
        <f t="shared" si="1"/>
        <v>264630</v>
      </c>
      <c r="F5" s="9">
        <f t="shared" si="0"/>
        <v>1660719</v>
      </c>
      <c r="G5" s="6"/>
    </row>
    <row r="6" spans="1:7" x14ac:dyDescent="0.2">
      <c r="A6" s="6"/>
      <c r="B6" s="8"/>
      <c r="C6" s="8"/>
      <c r="D6" s="8"/>
      <c r="E6" s="8"/>
      <c r="F6" s="8"/>
      <c r="G6" s="6"/>
    </row>
    <row r="7" spans="1:7" x14ac:dyDescent="0.2">
      <c r="A7" s="7" t="s">
        <v>7</v>
      </c>
      <c r="B7" s="6"/>
      <c r="C7" s="6"/>
      <c r="D7" s="6"/>
      <c r="E7" s="6"/>
      <c r="F7" s="6"/>
      <c r="G7" s="6" t="s">
        <v>8</v>
      </c>
    </row>
    <row r="8" spans="1:7" x14ac:dyDescent="0.2">
      <c r="A8" s="6" t="s">
        <v>0</v>
      </c>
      <c r="B8" s="8">
        <f>0.66*B3</f>
        <v>321944.73300000007</v>
      </c>
      <c r="C8" s="8">
        <f t="shared" ref="C8:F8" si="2">0.66*C3</f>
        <v>28468.103400000004</v>
      </c>
      <c r="D8" s="8">
        <f t="shared" si="2"/>
        <v>0</v>
      </c>
      <c r="E8" s="8">
        <f t="shared" si="2"/>
        <v>0</v>
      </c>
      <c r="F8" s="8">
        <f t="shared" si="2"/>
        <v>350412.83640000003</v>
      </c>
      <c r="G8" s="6"/>
    </row>
    <row r="9" spans="1:7" x14ac:dyDescent="0.2">
      <c r="A9" s="6" t="s">
        <v>1</v>
      </c>
      <c r="B9" s="8">
        <f t="shared" ref="B9:F9" si="3">0.66*B4</f>
        <v>291661.88699999999</v>
      </c>
      <c r="C9" s="8">
        <f t="shared" si="3"/>
        <v>144618.21660000001</v>
      </c>
      <c r="D9" s="8">
        <f t="shared" si="3"/>
        <v>134725.80000000002</v>
      </c>
      <c r="E9" s="8">
        <f t="shared" si="3"/>
        <v>174655.80000000002</v>
      </c>
      <c r="F9" s="8">
        <f t="shared" si="3"/>
        <v>745661.70360000001</v>
      </c>
      <c r="G9" s="6"/>
    </row>
    <row r="10" spans="1:7" x14ac:dyDescent="0.2">
      <c r="A10" s="7" t="s">
        <v>2</v>
      </c>
      <c r="B10" s="8">
        <f t="shared" ref="B10:F10" si="4">0.66*B5</f>
        <v>613606.62</v>
      </c>
      <c r="C10" s="8">
        <f t="shared" si="4"/>
        <v>173086.32</v>
      </c>
      <c r="D10" s="8">
        <f t="shared" si="4"/>
        <v>134725.80000000002</v>
      </c>
      <c r="E10" s="8">
        <f t="shared" si="4"/>
        <v>174655.80000000002</v>
      </c>
      <c r="F10" s="8">
        <f t="shared" si="4"/>
        <v>1096074.54</v>
      </c>
      <c r="G10" s="6"/>
    </row>
    <row r="11" spans="1:7" x14ac:dyDescent="0.2">
      <c r="A11" s="6"/>
      <c r="B11" s="8"/>
      <c r="C11" s="8"/>
      <c r="D11" s="8"/>
      <c r="E11" s="8"/>
      <c r="F11" s="8"/>
      <c r="G11" s="6"/>
    </row>
    <row r="12" spans="1:7" x14ac:dyDescent="0.2">
      <c r="A12" s="7" t="s">
        <v>9</v>
      </c>
      <c r="B12" s="8"/>
      <c r="C12" s="8"/>
      <c r="D12" s="8"/>
      <c r="E12" s="8"/>
      <c r="F12" s="8"/>
      <c r="G12" s="6" t="s">
        <v>10</v>
      </c>
    </row>
    <row r="13" spans="1:7" x14ac:dyDescent="0.2">
      <c r="A13" s="6" t="s">
        <v>0</v>
      </c>
      <c r="B13" s="8">
        <f>0.34*B3</f>
        <v>165850.31700000004</v>
      </c>
      <c r="C13" s="8">
        <f t="shared" ref="C13:F13" si="5">0.34*C3</f>
        <v>14665.386600000003</v>
      </c>
      <c r="D13" s="8">
        <f t="shared" si="5"/>
        <v>0</v>
      </c>
      <c r="E13" s="8">
        <f t="shared" si="5"/>
        <v>0</v>
      </c>
      <c r="F13" s="8">
        <f t="shared" si="5"/>
        <v>180515.70360000004</v>
      </c>
      <c r="G13" s="6"/>
    </row>
    <row r="14" spans="1:7" x14ac:dyDescent="0.2">
      <c r="A14" s="6" t="s">
        <v>1</v>
      </c>
      <c r="B14" s="8">
        <f t="shared" ref="B14:F14" si="6">0.34*B4</f>
        <v>150250.06299999999</v>
      </c>
      <c r="C14" s="8">
        <f t="shared" si="6"/>
        <v>74500.29340000001</v>
      </c>
      <c r="D14" s="8">
        <f t="shared" si="6"/>
        <v>69404.200000000012</v>
      </c>
      <c r="E14" s="8">
        <f t="shared" si="6"/>
        <v>89974.200000000012</v>
      </c>
      <c r="F14" s="8">
        <f t="shared" si="6"/>
        <v>384128.75640000001</v>
      </c>
      <c r="G14" s="6"/>
    </row>
    <row r="15" spans="1:7" x14ac:dyDescent="0.2">
      <c r="A15" s="7" t="s">
        <v>2</v>
      </c>
      <c r="B15" s="8">
        <f t="shared" ref="B15:F15" si="7">0.34*B5</f>
        <v>316100.38</v>
      </c>
      <c r="C15" s="8">
        <f t="shared" si="7"/>
        <v>89165.680000000008</v>
      </c>
      <c r="D15" s="8">
        <f t="shared" si="7"/>
        <v>69404.200000000012</v>
      </c>
      <c r="E15" s="8">
        <f t="shared" si="7"/>
        <v>89974.200000000012</v>
      </c>
      <c r="F15" s="8">
        <f t="shared" si="7"/>
        <v>564644.46000000008</v>
      </c>
      <c r="G15" s="6"/>
    </row>
    <row r="16" spans="1:7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Mitchell</dc:creator>
  <cp:lastModifiedBy>Joseph Mitchell</cp:lastModifiedBy>
  <dcterms:created xsi:type="dcterms:W3CDTF">2026-02-08T23:29:13Z</dcterms:created>
  <dcterms:modified xsi:type="dcterms:W3CDTF">2026-04-15T15:45:54Z</dcterms:modified>
</cp:coreProperties>
</file>